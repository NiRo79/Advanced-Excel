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slicerCaches/slicerCache1.xml" ContentType="application/vnd.ms-excel.slicerCache+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3.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pivotTables/pivotTable4.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hidePivotFieldList="1"/>
  <mc:AlternateContent xmlns:mc="http://schemas.openxmlformats.org/markup-compatibility/2006">
    <mc:Choice Requires="x15">
      <x15ac:absPath xmlns:x15ac="http://schemas.microsoft.com/office/spreadsheetml/2010/11/ac" url="https://d.docs.live.net/998c3e7283d5563b/Desktop/TGSB Case Study 1/"/>
    </mc:Choice>
  </mc:AlternateContent>
  <xr:revisionPtr revIDLastSave="736" documentId="8_{1A679B9C-53CD-4886-B705-A40395AC0C60}" xr6:coauthVersionLast="47" xr6:coauthVersionMax="47" xr10:uidLastSave="{99A26891-3A95-4F32-B556-265B3458786A}"/>
  <bookViews>
    <workbookView xWindow="-120" yWindow="-120" windowWidth="20730" windowHeight="11040" tabRatio="519" xr2:uid="{F60F2B56-14B2-43B8-9ED5-514D42FADD5F}"/>
  </bookViews>
  <sheets>
    <sheet name="PivotTable" sheetId="14" r:id="rId1"/>
    <sheet name="Graph" sheetId="17" r:id="rId2"/>
  </sheets>
  <definedNames>
    <definedName name="ExternalData_1" localSheetId="0" hidden="1">PivotTable!$O$1:$O$3</definedName>
    <definedName name="Slicer_PresenceStatus">#N/A</definedName>
  </definedNames>
  <calcPr calcId="191029"/>
  <pivotCaches>
    <pivotCache cacheId="68" r:id="rId3"/>
    <pivotCache cacheId="70" r:id="rId4"/>
  </pivotCaches>
  <extLst>
    <ext xmlns:x14="http://schemas.microsoft.com/office/spreadsheetml/2009/9/main" uri="{876F7934-8845-4945-9796-88D515C7AA90}">
      <x14:pivotCaches>
        <pivotCache cacheId="61" r:id="rId5"/>
      </x14:pivotCaches>
    </ex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841E416B-1EF1-43b6-AB56-02D37102CBD5}">
      <x15:pivotCaches>
        <pivotCache cacheId="73" r:id="rId7"/>
        <pivotCache cacheId="76" r:id="rId8"/>
      </x15:pivotCaches>
    </ext>
    <ext xmlns:x15="http://schemas.microsoft.com/office/spreadsheetml/2010/11/main" uri="{983426D0-5260-488c-9760-48F4B6AC55F4}">
      <x15:pivotTableReferences>
        <x15:pivotTableReference r:id="rId9"/>
        <x15:pivotTableReference r:id="rId10"/>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imeSheet_5e5d636f-5372-4b7c-a7e2-5865239be9d3" name="TimeSheet" connection="Query - TimeShee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6" i="14" l="1" a="1"/>
  <c r="D6" i="14" s="1"/>
  <c r="B2" i="1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FA8064-6836-4B39-BF15-7E95BFA3E45A}" keepAlive="1" name="Query - Badge" description="Connection to the 'Badge' query in the workbook." type="5" refreshedVersion="0" background="1">
    <dbPr connection="Provider=Microsoft.Mashup.OleDb.1;Data Source=$Workbook$;Location=Badge;Extended Properties=&quot;&quot;" command="SELECT * FROM [Badge]"/>
  </connection>
  <connection id="2" xr16:uid="{65639B2D-634A-4B39-A415-8810FB48FAAD}" keepAlive="1" name="Query - FolderContent" description="Connection to the 'FolderContent' query in the workbook." type="5" refreshedVersion="8" saveData="1">
    <dbPr connection="Provider=Microsoft.Mashup.OleDb.1;Data Source=$Workbook$;Location=FolderContent;Extended Properties=&quot;&quot;" command="SELECT * FROM [FolderContent]"/>
  </connection>
  <connection id="3" xr16:uid="{2EF19B6A-120F-41F8-AE7C-7A7354EE58F9}" keepAlive="1" name="Query - FolderPath" description="Connection to the 'FolderPath' query in the workbook." type="5" refreshedVersion="0" background="1">
    <dbPr connection="Provider=Microsoft.Mashup.OleDb.1;Data Source=$Workbook$;Location=FolderPath;Extended Properties=&quot;&quot;" command="SELECT * FROM [FolderPath]"/>
  </connection>
  <connection id="4" xr16:uid="{4433E3F7-0417-4B33-86DF-2810EA482C03}" keepAlive="1" name="Query - Month" description="Connection to the 'Month' query in the workbook." type="5" refreshedVersion="0" background="1" saveData="1">
    <dbPr connection="Provider=Microsoft.Mashup.OleDb.1;Data Source=$Workbook$;Location=Month;Extended Properties=&quot;&quot;" command="SELECT * FROM [Month]"/>
  </connection>
  <connection id="5" xr16:uid="{125080EB-1AB1-4909-9215-C54AF1F42415}" keepAlive="1" name="Query - New Table" description="Connection to the 'New Table' query in the workbook." type="5" refreshedVersion="8" saveData="1">
    <dbPr connection="Provider=Microsoft.Mashup.OleDb.1;Data Source=$Workbook$;Location=&quot;New Table&quot;;Extended Properties=&quot;&quot;" command="SELECT * FROM [New Table]"/>
  </connection>
  <connection id="6" xr16:uid="{22CAC15E-E759-442D-90F5-D29B702846AF}"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7" xr16:uid="{5E9B7350-933F-4A28-B7C7-C4104CADE966}" keepAlive="1" name="Query - Parameter2" description="Connection to the 'Parameter2' query in the workbook." type="5" refreshedVersion="0" background="1">
    <dbPr connection="Provider=Microsoft.Mashup.OleDb.1;Data Source=$Workbook$;Location=Parameter2;Extended Properties=&quot;&quot;" command="SELECT * FROM [Parameter2]"/>
  </connection>
  <connection id="8" xr16:uid="{67B1E257-334B-40BD-B2B5-5C7100063C82}"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9" xr16:uid="{1B6D3C3A-0092-40A6-A724-2FE326A26014}" keepAlive="1" name="Query - Sample File (2)" description="Connection to the 'Sample File (2)' query in the workbook." type="5" refreshedVersion="0" background="1">
    <dbPr connection="Provider=Microsoft.Mashup.OleDb.1;Data Source=$Workbook$;Location=&quot;Sample File (2)&quot;;Extended Properties=&quot;&quot;" command="SELECT * FROM [Sample File (2)]"/>
  </connection>
  <connection id="10" xr16:uid="{A9C2A2AE-200A-4E94-A2FC-61A92E0FEF0C}" name="Query - TimeSheet" description="Connection to the 'TimeSheet' query in the workbook." type="100" refreshedVersion="8" minRefreshableVersion="5">
    <extLst>
      <ext xmlns:x15="http://schemas.microsoft.com/office/spreadsheetml/2010/11/main" uri="{DE250136-89BD-433C-8126-D09CA5730AF9}">
        <x15:connection id="cc2f08be-99e5-4e00-843d-9295f4f06a4a"/>
      </ext>
    </extLst>
  </connection>
  <connection id="11" xr16:uid="{0C7971CD-A435-4918-AE9E-240E1B2E4AFA}"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2" xr16:uid="{A0A5D134-296F-48A7-9120-D12F08F89C09}" keepAlive="1" name="Query - Transform File (2)" description="Connection to the 'Transform File (2)' query in the workbook." type="5" refreshedVersion="0" background="1">
    <dbPr connection="Provider=Microsoft.Mashup.OleDb.1;Data Source=$Workbook$;Location=&quot;Transform File (2)&quot;;Extended Properties=&quot;&quot;" command="SELECT * FROM [Transform File (2)]"/>
  </connection>
  <connection id="13" xr16:uid="{846A2F4C-268D-4344-9CB4-D34CD396D412}"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14" xr16:uid="{D3951905-1B3F-4111-AB45-06E9428FD24A}" keepAlive="1" name="Query - Transform Sample File (2)" description="Connection to the 'Transform Sample File (2)' query in the workbook." type="5" refreshedVersion="0" background="1">
    <dbPr connection="Provider=Microsoft.Mashup.OleDb.1;Data Source=$Workbook$;Location=&quot;Transform Sample File (2)&quot;;Extended Properties=&quot;&quot;" command="SELECT * FROM [Transform Sample File (2)]"/>
  </connection>
  <connection id="15" xr16:uid="{D4632C4E-31D3-44A1-950F-C48353F02705}"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<sst xmlns="http://schemas.openxmlformats.org/spreadsheetml/2006/main" count="34" uniqueCount="26">
  <si>
    <t>Folder Path</t>
  </si>
  <si>
    <t>User 1</t>
  </si>
  <si>
    <t>User 13</t>
  </si>
  <si>
    <t>Full name</t>
  </si>
  <si>
    <t>Department</t>
  </si>
  <si>
    <t>Team leader</t>
  </si>
  <si>
    <t>O2C</t>
  </si>
  <si>
    <t>TL2</t>
  </si>
  <si>
    <t>P2P</t>
  </si>
  <si>
    <t>TL3</t>
  </si>
  <si>
    <t>TW</t>
  </si>
  <si>
    <t>Co</t>
  </si>
  <si>
    <t>CM</t>
  </si>
  <si>
    <t>Day</t>
  </si>
  <si>
    <t>Month</t>
  </si>
  <si>
    <t>01_2024</t>
  </si>
  <si>
    <t>02_2024</t>
  </si>
  <si>
    <t>Total</t>
  </si>
  <si>
    <t>Office</t>
  </si>
  <si>
    <t>Grand Total</t>
  </si>
  <si>
    <t>Sum of TimeSheetDay</t>
  </si>
  <si>
    <t>Presence Status</t>
  </si>
  <si>
    <t>Count of employees</t>
  </si>
  <si>
    <t>C:\Users\nicol\OneDrive\Desktop\TGSB Case Study 1</t>
  </si>
  <si>
    <t>RSL</t>
  </si>
  <si>
    <t>User 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</si>
</sst>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sz val="14"/>
      <color theme="2" tint="-0.249977111117893"/>
      <name val="Aptos Narrow"/>
      <family val="2"/>
      <scheme val="minor"/>
    </font>
    <font>
      <b/>
      <sz val="14"/>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1">
    <xf numFmtId="0" fontId="0" fillId="0" borderId="0" xfId="0"/>
    <xf numFmtId="0" fontId="0" fillId="0" borderId="0" xfId="0" applyAlignment="1">
      <alignment horizontal="center"/>
    </xf>
    <xf numFmtId="0" fontId="0" fillId="0" borderId="0" xfId="0" applyAlignment="1">
      <alignment horizontal="center" vertical="center" wrapText="1"/>
    </xf>
    <xf numFmtId="0" fontId="0" fillId="0" borderId="0" xfId="0" pivotButton="1" applyAlignment="1">
      <alignment horizontal="center"/>
    </xf>
    <xf numFmtId="0" fontId="0" fillId="0" borderId="0" xfId="0" pivotButton="1"/>
    <xf numFmtId="0" fontId="0" fillId="0" borderId="0" xfId="0" applyAlignment="1">
      <alignment horizontal="left"/>
    </xf>
    <xf numFmtId="0" fontId="0" fillId="0" borderId="0" xfId="0" applyAlignment="1">
      <alignment horizontal="center" vertical="center" wrapText="1"/>
    </xf>
    <xf numFmtId="0" fontId="0" fillId="0" borderId="0" xfId="0" applyAlignment="1">
      <alignment horizontal="center"/>
    </xf>
    <xf numFmtId="0" fontId="1" fillId="0" borderId="0" xfId="0" applyFont="1" applyAlignment="1">
      <alignment horizontal="center"/>
    </xf>
    <xf numFmtId="0" fontId="2" fillId="0" borderId="0" xfId="0" applyFont="1" applyAlignment="1">
      <alignment horizontal="center"/>
    </xf>
    <xf numFmtId="0" fontId="0" fillId="0" borderId="0" xfId="0" applyNumberFormat="1" applyAlignment="1">
      <alignment horizontal="center"/>
    </xf>
  </cellXfs>
  <cellStyles count="1">
    <cellStyle name="Normal" xfId="0" builtinId="0"/>
  </cellStyles>
  <dxfs count="5">
    <dxf>
      <alignment horizontal="center"/>
    </dxf>
    <dxf>
      <alignment horizontal="center"/>
    </dxf>
    <dxf>
      <alignment horizontal="center"/>
    </dxf>
    <dxf>
      <numFmt numFmtId="0" formatCode="General"/>
    </dxf>
    <dxf>
      <alignment horizont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tyles" Target="styles.xml"/><Relationship Id="rId18" Type="http://schemas.openxmlformats.org/officeDocument/2006/relationships/calcChain" Target="calcChain.xml"/><Relationship Id="rId26" Type="http://schemas.openxmlformats.org/officeDocument/2006/relationships/customXml" Target="../customXml/item8.xml"/><Relationship Id="rId21" Type="http://schemas.openxmlformats.org/officeDocument/2006/relationships/customXml" Target="../customXml/item3.xml"/><Relationship Id="rId34" Type="http://schemas.openxmlformats.org/officeDocument/2006/relationships/customXml" Target="../customXml/item16.xml"/><Relationship Id="rId7" Type="http://schemas.openxmlformats.org/officeDocument/2006/relationships/pivotCacheDefinition" Target="pivotCache/pivotCacheDefinition4.xml"/><Relationship Id="rId12" Type="http://schemas.openxmlformats.org/officeDocument/2006/relationships/connections" Target="connections.xml"/><Relationship Id="rId17" Type="http://schemas.microsoft.com/office/2017/10/relationships/person" Target="persons/person.xml"/><Relationship Id="rId25" Type="http://schemas.openxmlformats.org/officeDocument/2006/relationships/customXml" Target="../customXml/item7.xml"/><Relationship Id="rId33" Type="http://schemas.openxmlformats.org/officeDocument/2006/relationships/customXml" Target="../customXml/item15.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owerPivotData" Target="model/item.data"/><Relationship Id="rId20" Type="http://schemas.openxmlformats.org/officeDocument/2006/relationships/customXml" Target="../customXml/item2.xml"/><Relationship Id="rId29" Type="http://schemas.openxmlformats.org/officeDocument/2006/relationships/customXml" Target="../customXml/item11.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theme" Target="theme/theme1.xml"/><Relationship Id="rId24" Type="http://schemas.openxmlformats.org/officeDocument/2006/relationships/customXml" Target="../customXml/item6.xml"/><Relationship Id="rId32" Type="http://schemas.openxmlformats.org/officeDocument/2006/relationships/customXml" Target="../customXml/item14.xml"/><Relationship Id="rId37" Type="http://schemas.openxmlformats.org/officeDocument/2006/relationships/customXml" Target="../customXml/item19.xml"/><Relationship Id="rId5" Type="http://schemas.openxmlformats.org/officeDocument/2006/relationships/pivotCacheDefinition" Target="pivotCache/pivotCacheDefinition3.xml"/><Relationship Id="rId15" Type="http://schemas.openxmlformats.org/officeDocument/2006/relationships/sheetMetadata" Target="metadata.xml"/><Relationship Id="rId23" Type="http://schemas.openxmlformats.org/officeDocument/2006/relationships/customXml" Target="../customXml/item5.xml"/><Relationship Id="rId28" Type="http://schemas.openxmlformats.org/officeDocument/2006/relationships/customXml" Target="../customXml/item10.xml"/><Relationship Id="rId36" Type="http://schemas.openxmlformats.org/officeDocument/2006/relationships/customXml" Target="../customXml/item18.xml"/><Relationship Id="rId10" Type="http://schemas.openxmlformats.org/officeDocument/2006/relationships/pivotTable" Target="pivotTables/pivotTable2.xml"/><Relationship Id="rId19" Type="http://schemas.openxmlformats.org/officeDocument/2006/relationships/customXml" Target="../customXml/item1.xml"/><Relationship Id="rId31" Type="http://schemas.openxmlformats.org/officeDocument/2006/relationships/customXml" Target="../customXml/item13.xml"/><Relationship Id="rId4" Type="http://schemas.openxmlformats.org/officeDocument/2006/relationships/pivotCacheDefinition" Target="pivotCache/pivotCacheDefinition2.xml"/><Relationship Id="rId9" Type="http://schemas.openxmlformats.org/officeDocument/2006/relationships/pivotTable" Target="pivotTables/pivotTable1.xml"/><Relationship Id="rId14" Type="http://schemas.openxmlformats.org/officeDocument/2006/relationships/sharedStrings" Target="sharedStrings.xml"/><Relationship Id="rId22" Type="http://schemas.openxmlformats.org/officeDocument/2006/relationships/customXml" Target="../customXml/item4.xml"/><Relationship Id="rId27" Type="http://schemas.openxmlformats.org/officeDocument/2006/relationships/customXml" Target="../customXml/item9.xml"/><Relationship Id="rId30" Type="http://schemas.openxmlformats.org/officeDocument/2006/relationships/customXml" Target="../customXml/item12.xml"/><Relationship Id="rId35" Type="http://schemas.openxmlformats.org/officeDocument/2006/relationships/customXml" Target="../customXml/item17.xml"/><Relationship Id="rId8" Type="http://schemas.openxmlformats.org/officeDocument/2006/relationships/pivotCacheDefinition" Target="pivotCache/pivotCacheDefinition5.xml"/><Relationship Id="rId3" Type="http://schemas.openxmlformats.org/officeDocument/2006/relationships/pivotCacheDefinition" Target="pivotCache/pivotCacheDefinition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Daily trends by attendance status</a:t>
            </a:r>
            <a:endParaRPr lang="ro-RO"/>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Office</c:v>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1"/>
              <c:pt idx="0">
                <c:v>1</c:v>
              </c:pt>
              <c:pt idx="1">
                <c:v>2</c:v>
              </c:pt>
              <c:pt idx="2">
                <c:v>5</c:v>
              </c:pt>
              <c:pt idx="3">
                <c:v>6</c:v>
              </c:pt>
              <c:pt idx="4">
                <c:v>7</c:v>
              </c:pt>
              <c:pt idx="5">
                <c:v>8</c:v>
              </c:pt>
              <c:pt idx="6">
                <c:v>9</c:v>
              </c:pt>
              <c:pt idx="7">
                <c:v>12</c:v>
              </c:pt>
              <c:pt idx="8">
                <c:v>13</c:v>
              </c:pt>
              <c:pt idx="9">
                <c:v>14</c:v>
              </c:pt>
              <c:pt idx="10">
                <c:v>15</c:v>
              </c:pt>
              <c:pt idx="11">
                <c:v>16</c:v>
              </c:pt>
              <c:pt idx="12">
                <c:v>19</c:v>
              </c:pt>
              <c:pt idx="13">
                <c:v>20</c:v>
              </c:pt>
              <c:pt idx="14">
                <c:v>21</c:v>
              </c:pt>
              <c:pt idx="15">
                <c:v>22</c:v>
              </c:pt>
              <c:pt idx="16">
                <c:v>23</c:v>
              </c:pt>
              <c:pt idx="17">
                <c:v>26</c:v>
              </c:pt>
              <c:pt idx="18">
                <c:v>27</c:v>
              </c:pt>
              <c:pt idx="19">
                <c:v>28</c:v>
              </c:pt>
              <c:pt idx="20">
                <c:v>29</c:v>
              </c:pt>
            </c:strLit>
          </c:cat>
          <c:val>
            <c:numLit>
              <c:formatCode>General</c:formatCode>
              <c:ptCount val="21"/>
              <c:pt idx="0">
                <c:v>8</c:v>
              </c:pt>
              <c:pt idx="1">
                <c:v>11</c:v>
              </c:pt>
              <c:pt idx="2">
                <c:v>21</c:v>
              </c:pt>
              <c:pt idx="3">
                <c:v>31</c:v>
              </c:pt>
              <c:pt idx="4">
                <c:v>42</c:v>
              </c:pt>
              <c:pt idx="5">
                <c:v>51</c:v>
              </c:pt>
              <c:pt idx="6">
                <c:v>56</c:v>
              </c:pt>
              <c:pt idx="7">
                <c:v>60</c:v>
              </c:pt>
              <c:pt idx="8">
                <c:v>73</c:v>
              </c:pt>
              <c:pt idx="9">
                <c:v>81</c:v>
              </c:pt>
              <c:pt idx="10">
                <c:v>92</c:v>
              </c:pt>
              <c:pt idx="11">
                <c:v>96</c:v>
              </c:pt>
              <c:pt idx="12">
                <c:v>105</c:v>
              </c:pt>
              <c:pt idx="13">
                <c:v>111</c:v>
              </c:pt>
              <c:pt idx="14">
                <c:v>118</c:v>
              </c:pt>
              <c:pt idx="15">
                <c:v>127</c:v>
              </c:pt>
              <c:pt idx="16">
                <c:v>133</c:v>
              </c:pt>
              <c:pt idx="17">
                <c:v>141</c:v>
              </c:pt>
              <c:pt idx="18">
                <c:v>151</c:v>
              </c:pt>
              <c:pt idx="19">
                <c:v>160</c:v>
              </c:pt>
              <c:pt idx="20">
                <c:v>172</c:v>
              </c:pt>
            </c:numLit>
          </c:val>
          <c:smooth val="0"/>
          <c:extLst>
            <c:ext xmlns:c16="http://schemas.microsoft.com/office/drawing/2014/chart" uri="{C3380CC4-5D6E-409C-BE32-E72D297353CC}">
              <c16:uniqueId val="{00000000-665A-4979-A7BF-B35A73816EF6}"/>
            </c:ext>
          </c:extLst>
        </c:ser>
        <c:dLbls>
          <c:dLblPos val="t"/>
          <c:showLegendKey val="0"/>
          <c:showVal val="1"/>
          <c:showCatName val="0"/>
          <c:showSerName val="0"/>
          <c:showPercent val="0"/>
          <c:showBubbleSize val="0"/>
        </c:dLbls>
        <c:smooth val="0"/>
        <c:axId val="595982544"/>
        <c:axId val="596004624"/>
      </c:lineChart>
      <c:catAx>
        <c:axId val="595982544"/>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6004624"/>
        <c:crosses val="autoZero"/>
        <c:auto val="1"/>
        <c:lblAlgn val="ctr"/>
        <c:lblOffset val="100"/>
        <c:noMultiLvlLbl val="0"/>
        <c:extLst>
          <c:ext xmlns:c15="http://schemas.microsoft.com/office/drawing/2012/chart" uri="{F40574EE-89B7-4290-83BB-5DA773EAF853}">
            <c15:numFmt c:formatCode="General" c:sourceLinked="1"/>
          </c:ext>
        </c:extLst>
      </c:catAx>
      <c:valAx>
        <c:axId val="5960046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5982544"/>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5="http://schemas.microsoft.com/office/drawing/2012/chart" uri="{723BEF56-08C2-4564-9609-F4CBC75E7E54}">
      <c15:pivotSource>
        <c15:name>[TGSB - Case Study 1.xlsm]PivotChartTable2</c15:name>
        <c15:fmtId val="0"/>
      </c15:pivotSource>
      <c15:pivotOptions>
        <c15:dropZoneFilter val="1"/>
        <c15:dropZonesVisible val="1"/>
      </c15: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Trending</a:t>
            </a:r>
            <a:endParaRPr lang="ro-RO"/>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Office</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1"/>
              <c:pt idx="0">
                <c:v>1</c:v>
              </c:pt>
              <c:pt idx="1">
                <c:v>2</c:v>
              </c:pt>
              <c:pt idx="2">
                <c:v>5</c:v>
              </c:pt>
              <c:pt idx="3">
                <c:v>6</c:v>
              </c:pt>
              <c:pt idx="4">
                <c:v>7</c:v>
              </c:pt>
              <c:pt idx="5">
                <c:v>8</c:v>
              </c:pt>
              <c:pt idx="6">
                <c:v>9</c:v>
              </c:pt>
              <c:pt idx="7">
                <c:v>12</c:v>
              </c:pt>
              <c:pt idx="8">
                <c:v>13</c:v>
              </c:pt>
              <c:pt idx="9">
                <c:v>14</c:v>
              </c:pt>
              <c:pt idx="10">
                <c:v>15</c:v>
              </c:pt>
              <c:pt idx="11">
                <c:v>16</c:v>
              </c:pt>
              <c:pt idx="12">
                <c:v>19</c:v>
              </c:pt>
              <c:pt idx="13">
                <c:v>20</c:v>
              </c:pt>
              <c:pt idx="14">
                <c:v>21</c:v>
              </c:pt>
              <c:pt idx="15">
                <c:v>22</c:v>
              </c:pt>
              <c:pt idx="16">
                <c:v>23</c:v>
              </c:pt>
              <c:pt idx="17">
                <c:v>26</c:v>
              </c:pt>
              <c:pt idx="18">
                <c:v>27</c:v>
              </c:pt>
              <c:pt idx="19">
                <c:v>28</c:v>
              </c:pt>
              <c:pt idx="20">
                <c:v>29</c:v>
              </c:pt>
            </c:strLit>
          </c:cat>
          <c:val>
            <c:numLit>
              <c:formatCode>General</c:formatCode>
              <c:ptCount val="21"/>
              <c:pt idx="0">
                <c:v>8</c:v>
              </c:pt>
              <c:pt idx="1">
                <c:v>3</c:v>
              </c:pt>
              <c:pt idx="2">
                <c:v>10</c:v>
              </c:pt>
              <c:pt idx="3">
                <c:v>10</c:v>
              </c:pt>
              <c:pt idx="4">
                <c:v>11</c:v>
              </c:pt>
              <c:pt idx="5">
                <c:v>9</c:v>
              </c:pt>
              <c:pt idx="6">
                <c:v>5</c:v>
              </c:pt>
              <c:pt idx="7">
                <c:v>4</c:v>
              </c:pt>
              <c:pt idx="8">
                <c:v>13</c:v>
              </c:pt>
              <c:pt idx="9">
                <c:v>8</c:v>
              </c:pt>
              <c:pt idx="10">
                <c:v>11</c:v>
              </c:pt>
              <c:pt idx="11">
                <c:v>4</c:v>
              </c:pt>
              <c:pt idx="12">
                <c:v>9</c:v>
              </c:pt>
              <c:pt idx="13">
                <c:v>6</c:v>
              </c:pt>
              <c:pt idx="14">
                <c:v>7</c:v>
              </c:pt>
              <c:pt idx="15">
                <c:v>9</c:v>
              </c:pt>
              <c:pt idx="16">
                <c:v>6</c:v>
              </c:pt>
              <c:pt idx="17">
                <c:v>8</c:v>
              </c:pt>
              <c:pt idx="18">
                <c:v>10</c:v>
              </c:pt>
              <c:pt idx="19">
                <c:v>9</c:v>
              </c:pt>
              <c:pt idx="20">
                <c:v>12</c:v>
              </c:pt>
            </c:numLit>
          </c:val>
          <c:extLst>
            <c:ext xmlns:c16="http://schemas.microsoft.com/office/drawing/2014/chart" uri="{C3380CC4-5D6E-409C-BE32-E72D297353CC}">
              <c16:uniqueId val="{00000000-71DA-4B6C-9866-2EBA979F5011}"/>
            </c:ext>
          </c:extLst>
        </c:ser>
        <c:dLbls>
          <c:dLblPos val="outEnd"/>
          <c:showLegendKey val="0"/>
          <c:showVal val="1"/>
          <c:showCatName val="0"/>
          <c:showSerName val="0"/>
          <c:showPercent val="0"/>
          <c:showBubbleSize val="0"/>
        </c:dLbls>
        <c:gapWidth val="219"/>
        <c:overlap val="-27"/>
        <c:axId val="595982544"/>
        <c:axId val="596004624"/>
      </c:barChart>
      <c:catAx>
        <c:axId val="5959825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Day</a:t>
                </a:r>
                <a:endParaRPr lang="ro-RO"/>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6004624"/>
        <c:crosses val="autoZero"/>
        <c:auto val="1"/>
        <c:lblAlgn val="ctr"/>
        <c:lblOffset val="100"/>
        <c:noMultiLvlLbl val="0"/>
        <c:extLst>
          <c:ext xmlns:c15="http://schemas.microsoft.com/office/drawing/2012/chart" uri="{F40574EE-89B7-4290-83BB-5DA773EAF853}">
            <c15:numFmt c:formatCode="General" c:sourceLinked="1"/>
          </c:ext>
        </c:extLst>
      </c:catAx>
      <c:valAx>
        <c:axId val="5960046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 of employees </a:t>
                </a:r>
                <a:endParaRPr lang="ro-RO"/>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5982544"/>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5="http://schemas.microsoft.com/office/drawing/2012/chart" uri="{723BEF56-08C2-4564-9609-F4CBC75E7E54}">
      <c15:pivotSource>
        <c15:name>[TGSB - Case Study 1.xlsm]PivotChartTable3</c15:name>
        <c15:fmtId val="2"/>
      </c15:pivotSource>
      <c15:pivotOptions>
        <c15:dropZoneFilter val="1"/>
        <c15:dropZonesVisible val="1"/>
      </c15: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0</xdr:col>
      <xdr:colOff>236220</xdr:colOff>
      <xdr:row>0</xdr:row>
      <xdr:rowOff>30480</xdr:rowOff>
    </xdr:from>
    <xdr:to>
      <xdr:col>0</xdr:col>
      <xdr:colOff>556260</xdr:colOff>
      <xdr:row>2</xdr:row>
      <xdr:rowOff>38100</xdr:rowOff>
    </xdr:to>
    <xdr:pic macro="[0]!SelecteazaFolder">
      <xdr:nvPicPr>
        <xdr:cNvPr id="2" name="Graphic 1" descr="Open folder with solid fill">
          <a:extLst>
            <a:ext uri="{FF2B5EF4-FFF2-40B4-BE49-F238E27FC236}">
              <a16:creationId xmlns:a16="http://schemas.microsoft.com/office/drawing/2014/main" id="{B3D017B8-854D-4CD5-87F6-DB2C0308D93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36220" y="30480"/>
          <a:ext cx="320040" cy="358140"/>
        </a:xfrm>
        <a:prstGeom prst="rect">
          <a:avLst/>
        </a:prstGeom>
        <a:effectLst>
          <a:outerShdw blurRad="50800" dist="38100" dir="18900000" algn="bl" rotWithShape="0">
            <a:prstClr val="black">
              <a:alpha val="40000"/>
            </a:prst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116840</xdr:colOff>
      <xdr:row>8</xdr:row>
      <xdr:rowOff>35560</xdr:rowOff>
    </xdr:from>
    <xdr:to>
      <xdr:col>10</xdr:col>
      <xdr:colOff>655320</xdr:colOff>
      <xdr:row>28</xdr:row>
      <xdr:rowOff>83820</xdr:rowOff>
    </xdr:to>
    <xdr:graphicFrame macro="">
      <xdr:nvGraphicFramePr>
        <xdr:cNvPr id="5" name="Chart 4">
          <a:extLst>
            <a:ext uri="{FF2B5EF4-FFF2-40B4-BE49-F238E27FC236}">
              <a16:creationId xmlns:a16="http://schemas.microsoft.com/office/drawing/2014/main" id="{1B041B97-EB2D-7FDC-A3EE-6D3C240BB2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121920</xdr:colOff>
      <xdr:row>3</xdr:row>
      <xdr:rowOff>60960</xdr:rowOff>
    </xdr:from>
    <xdr:to>
      <xdr:col>7</xdr:col>
      <xdr:colOff>541020</xdr:colOff>
      <xdr:row>7</xdr:row>
      <xdr:rowOff>144780</xdr:rowOff>
    </xdr:to>
    <mc:AlternateContent xmlns:mc="http://schemas.openxmlformats.org/markup-compatibility/2006" xmlns:a14="http://schemas.microsoft.com/office/drawing/2010/main">
      <mc:Choice Requires="a14">
        <xdr:graphicFrame macro="">
          <xdr:nvGraphicFramePr>
            <xdr:cNvPr id="6" name="PresenceStatus">
              <a:extLst>
                <a:ext uri="{FF2B5EF4-FFF2-40B4-BE49-F238E27FC236}">
                  <a16:creationId xmlns:a16="http://schemas.microsoft.com/office/drawing/2014/main" id="{9CA311E2-88E4-EF00-F845-DCDF2A62D95E}"/>
                </a:ext>
              </a:extLst>
            </xdr:cNvPr>
            <xdr:cNvGraphicFramePr/>
          </xdr:nvGraphicFramePr>
          <xdr:xfrm>
            <a:off x="0" y="0"/>
            <a:ext cx="0" cy="0"/>
          </xdr:xfrm>
          <a:graphic>
            <a:graphicData uri="http://schemas.microsoft.com/office/drawing/2010/slicer">
              <sle:slicer xmlns:sle="http://schemas.microsoft.com/office/drawing/2010/slicer" name="PresenceStatus"/>
            </a:graphicData>
          </a:graphic>
        </xdr:graphicFrame>
      </mc:Choice>
      <mc:Fallback xmlns="">
        <xdr:sp macro="" textlink="">
          <xdr:nvSpPr>
            <xdr:cNvPr id="0" name=""/>
            <xdr:cNvSpPr>
              <a:spLocks noTextEdit="1"/>
            </xdr:cNvSpPr>
          </xdr:nvSpPr>
          <xdr:spPr>
            <a:xfrm>
              <a:off x="121920" y="645160"/>
              <a:ext cx="5930900" cy="795020"/>
            </a:xfrm>
            <a:prstGeom prst="rect">
              <a:avLst/>
            </a:prstGeom>
            <a:solidFill>
              <a:prstClr val="white"/>
            </a:solidFill>
            <a:ln w="1">
              <a:solidFill>
                <a:prstClr val="green"/>
              </a:solidFill>
            </a:ln>
          </xdr:spPr>
          <xdr:txBody>
            <a:bodyPr vertOverflow="clip" horzOverflow="clip"/>
            <a:lstStyle/>
            <a:p>
              <a:r>
                <a:rPr lang="ro-R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121920</xdr:colOff>
      <xdr:row>29</xdr:row>
      <xdr:rowOff>0</xdr:rowOff>
    </xdr:from>
    <xdr:to>
      <xdr:col>10</xdr:col>
      <xdr:colOff>660400</xdr:colOff>
      <xdr:row>49</xdr:row>
      <xdr:rowOff>48260</xdr:rowOff>
    </xdr:to>
    <xdr:graphicFrame macro="">
      <xdr:nvGraphicFramePr>
        <xdr:cNvPr id="7" name="Chart 6">
          <a:extLst>
            <a:ext uri="{FF2B5EF4-FFF2-40B4-BE49-F238E27FC236}">
              <a16:creationId xmlns:a16="http://schemas.microsoft.com/office/drawing/2014/main" id="{43705568-88B9-478D-B7A9-E7CFE2D6C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i Ro" refreshedDate="45650.361198958337" createdVersion="5" refreshedVersion="8" minRefreshableVersion="3" recordCount="0" supportSubquery="1" supportAdvancedDrill="1" xr:uid="{3D4C7A63-2A46-405A-AC18-0F98B55A95CE}">
  <cacheSource type="external" connectionId="15"/>
  <cacheFields count="3">
    <cacheField name="[TimeSheet].[Day].[Day]" caption="Day" numFmtId="0" hierarchy="6" level="1">
      <sharedItems containsSemiMixedTypes="0" containsString="0" containsNumber="1" containsInteger="1" minValue="1" maxValue="29" count="21">
        <n v="1"/>
        <n v="2"/>
        <n v="5"/>
        <n v="6"/>
        <n v="7"/>
        <n v="8"/>
        <n v="9"/>
        <n v="12"/>
        <n v="13"/>
        <n v="14"/>
        <n v="15"/>
        <n v="16"/>
        <n v="19"/>
        <n v="20"/>
        <n v="21"/>
        <n v="22"/>
        <n v="23"/>
        <n v="26"/>
        <n v="27"/>
        <n v="28"/>
        <n v="29"/>
      </sharedItems>
      <extLst>
        <ext xmlns:x15="http://schemas.microsoft.com/office/spreadsheetml/2010/11/main" uri="{4F2E5C28-24EA-4eb8-9CBF-B6C8F9C3D259}">
          <x15:cachedUniqueNames>
            <x15:cachedUniqueName index="0" name="[TimeSheet].[Day].&amp;[1]"/>
            <x15:cachedUniqueName index="1" name="[TimeSheet].[Day].&amp;[2]"/>
            <x15:cachedUniqueName index="2" name="[TimeSheet].[Day].&amp;[5]"/>
            <x15:cachedUniqueName index="3" name="[TimeSheet].[Day].&amp;[6]"/>
            <x15:cachedUniqueName index="4" name="[TimeSheet].[Day].&amp;[7]"/>
            <x15:cachedUniqueName index="5" name="[TimeSheet].[Day].&amp;[8]"/>
            <x15:cachedUniqueName index="6" name="[TimeSheet].[Day].&amp;[9]"/>
            <x15:cachedUniqueName index="7" name="[TimeSheet].[Day].&amp;[12]"/>
            <x15:cachedUniqueName index="8" name="[TimeSheet].[Day].&amp;[13]"/>
            <x15:cachedUniqueName index="9" name="[TimeSheet].[Day].&amp;[14]"/>
            <x15:cachedUniqueName index="10" name="[TimeSheet].[Day].&amp;[15]"/>
            <x15:cachedUniqueName index="11" name="[TimeSheet].[Day].&amp;[16]"/>
            <x15:cachedUniqueName index="12" name="[TimeSheet].[Day].&amp;[19]"/>
            <x15:cachedUniqueName index="13" name="[TimeSheet].[Day].&amp;[20]"/>
            <x15:cachedUniqueName index="14" name="[TimeSheet].[Day].&amp;[21]"/>
            <x15:cachedUniqueName index="15" name="[TimeSheet].[Day].&amp;[22]"/>
            <x15:cachedUniqueName index="16" name="[TimeSheet].[Day].&amp;[23]"/>
            <x15:cachedUniqueName index="17" name="[TimeSheet].[Day].&amp;[26]"/>
            <x15:cachedUniqueName index="18" name="[TimeSheet].[Day].&amp;[27]"/>
            <x15:cachedUniqueName index="19" name="[TimeSheet].[Day].&amp;[28]"/>
            <x15:cachedUniqueName index="20" name="[TimeSheet].[Day].&amp;[29]"/>
          </x15:cachedUniqueNames>
        </ext>
      </extLst>
    </cacheField>
    <cacheField name="[Measures].[Count of Internal number]" caption="Count of Internal number" numFmtId="0" hierarchy="13" level="32767"/>
    <cacheField name="[TimeSheet].[PresenceStatus].[PresenceStatus]" caption="PresenceStatus" numFmtId="0" hierarchy="10" level="1">
      <sharedItems count="5">
        <s v="CM"/>
        <s v="Co"/>
        <s v="Office"/>
        <s v="RSL"/>
        <s v="TW"/>
      </sharedItems>
    </cacheField>
  </cacheFields>
  <cacheHierarchies count="14">
    <cacheHierarchy uniqueName="[TimeSheet].[No.]" caption="No." attribute="1" defaultMemberUniqueName="[TimeSheet].[No.].[All]" allUniqueName="[TimeSheet].[No.].[All]" dimensionUniqueName="[TimeSheet]" displayFolder="" count="0" memberValueDatatype="130" unbalanced="0"/>
    <cacheHierarchy uniqueName="[TimeSheet].[Full name]" caption="Full name" attribute="1" defaultMemberUniqueName="[TimeSheet].[Full name].[All]" allUniqueName="[TimeSheet].[Full name].[All]" dimensionUniqueName="[TimeSheet]" displayFolder="" count="0" memberValueDatatype="130" unbalanced="0"/>
    <cacheHierarchy uniqueName="[TimeSheet].[Internal number]" caption="Internal number" attribute="1" defaultMemberUniqueName="[TimeSheet].[Internal number].[All]" allUniqueName="[TimeSheet].[Internal number].[All]" dimensionUniqueName="[TimeSheet]" displayFolder="" count="0" memberValueDatatype="130" unbalanced="0"/>
    <cacheHierarchy uniqueName="[TimeSheet].[Department]" caption="Department" attribute="1" defaultMemberUniqueName="[TimeSheet].[Department].[All]" allUniqueName="[TimeSheet].[Department].[All]" dimensionUniqueName="[TimeSheet]" displayFolder="" count="0" memberValueDatatype="130" unbalanced="0"/>
    <cacheHierarchy uniqueName="[TimeSheet].[Team]" caption="Team" attribute="1" defaultMemberUniqueName="[TimeSheet].[Team].[All]" allUniqueName="[TimeSheet].[Team].[All]" dimensionUniqueName="[TimeSheet]" displayFolder="" count="0" memberValueDatatype="130" unbalanced="0"/>
    <cacheHierarchy uniqueName="[TimeSheet].[Team leader]" caption="Team leader" attribute="1" defaultMemberUniqueName="[TimeSheet].[Team leader].[All]" allUniqueName="[TimeSheet].[Team leader].[All]" dimensionUniqueName="[TimeSheet]" displayFolder="" count="0" memberValueDatatype="130" unbalanced="0"/>
    <cacheHierarchy uniqueName="[TimeSheet].[Day]" caption="Day" attribute="1" defaultMemberUniqueName="[TimeSheet].[Day].[All]" allUniqueName="[TimeSheet].[Day].[All]" dimensionUniqueName="[TimeSheet]" displayFolder="" count="2" memberValueDatatype="20" unbalanced="0">
      <fieldsUsage count="2">
        <fieldUsage x="-1"/>
        <fieldUsage x="0"/>
      </fieldsUsage>
    </cacheHierarchy>
    <cacheHierarchy uniqueName="[TimeSheet].[Presence]" caption="Presence" attribute="1" defaultMemberUniqueName="[TimeSheet].[Presence].[All]" allUniqueName="[TimeSheet].[Presence].[All]" dimensionUniqueName="[TimeSheet]" displayFolder="" count="0" memberValueDatatype="130" unbalanced="0"/>
    <cacheHierarchy uniqueName="[TimeSheet].[Key]" caption="Key" attribute="1" defaultMemberUniqueName="[TimeSheet].[Key].[All]" allUniqueName="[TimeSheet].[Key].[All]" dimensionUniqueName="[TimeSheet]" displayFolder="" count="0" memberValueDatatype="130" unbalanced="0"/>
    <cacheHierarchy uniqueName="[TimeSheet].[Custom]" caption="Custom" attribute="1" defaultMemberUniqueName="[TimeSheet].[Custom].[All]" allUniqueName="[TimeSheet].[Custom].[All]" dimensionUniqueName="[TimeSheet]" displayFolder="" count="0" memberValueDatatype="130" unbalanced="0"/>
    <cacheHierarchy uniqueName="[TimeSheet].[PresenceStatus]" caption="PresenceStatus" attribute="1" defaultMemberUniqueName="[TimeSheet].[PresenceStatus].[All]" allUniqueName="[TimeSheet].[PresenceStatus].[All]" dimensionUniqueName="[TimeSheet]" displayFolder="" count="2" memberValueDatatype="130" unbalanced="0">
      <fieldsUsage count="2">
        <fieldUsage x="-1"/>
        <fieldUsage x="2"/>
      </fieldsUsage>
    </cacheHierarchy>
    <cacheHierarchy uniqueName="[Measures].[__XL_Count TimeSheet]" caption="__XL_Count TimeSheet" measure="1" displayFolder="" measureGroup="TimeSheet" count="0" hidden="1"/>
    <cacheHierarchy uniqueName="[Measures].[__No measures defined]" caption="__No measures defined" measure="1" displayFolder="" count="0" hidden="1"/>
    <cacheHierarchy uniqueName="[Measures].[Count of Internal number]" caption="Count of Internal number" measure="1" displayFolder="" measureGroup="TimeSheet" count="0" oneField="1" hidden="1">
      <fieldsUsage count="1">
        <fieldUsage x="1"/>
      </fieldsUsage>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TimeSheet" uniqueName="[TimeSheet]" caption="TimeSheet"/>
  </dimensions>
  <measureGroups count="1">
    <measureGroup name="TimeSheet" caption="TimeSheet"/>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 Ro" refreshedDate="45650.361204513887" createdVersion="8" refreshedVersion="8" minRefreshableVersion="3" recordCount="4" xr:uid="{DAE6374A-0289-4864-ABD0-EAFD5A2EA144}">
  <cacheSource type="external" connectionId="5"/>
  <cacheFields count="13">
    <cacheField name="No." numFmtId="0">
      <sharedItems containsSemiMixedTypes="0" containsString="0" containsNumber="1" containsInteger="1" minValue="2" maxValue="19" count="3">
        <n v="2"/>
        <n v="19"/>
        <n v="9"/>
      </sharedItems>
    </cacheField>
    <cacheField name="Full name" numFmtId="0">
      <sharedItems count="22">
        <s v="User 1"/>
        <s v="User 22"/>
        <s v="User 13"/>
        <s v="User 4" u="1"/>
        <s v="User 6" u="1"/>
        <s v="User 21" u="1"/>
        <s v="User 9" u="1"/>
        <s v="User 11" u="1"/>
        <s v="User 18" u="1"/>
        <s v="User 16" u="1"/>
        <s v="User 7" u="1"/>
        <s v="User 8" u="1"/>
        <s v="User 12" u="1"/>
        <s v="User 15" u="1"/>
        <s v="User 2" u="1"/>
        <s v="User 3" u="1"/>
        <s v="User 5" u="1"/>
        <s v="User 10" u="1"/>
        <s v="User 14" u="1"/>
        <s v="User 17" u="1"/>
        <s v="User 20" u="1"/>
        <s v="User 19" u="1"/>
      </sharedItems>
    </cacheField>
    <cacheField name="Internal number" numFmtId="0">
      <sharedItems count="3">
        <s v="J0000001"/>
        <s v="J0000022"/>
        <s v="J0000013"/>
      </sharedItems>
    </cacheField>
    <cacheField name="Department" numFmtId="0">
      <sharedItems count="3">
        <s v="O2C"/>
        <s v="P2P"/>
        <s v="R2R" u="1"/>
      </sharedItems>
    </cacheField>
    <cacheField name="Team" numFmtId="0">
      <sharedItems count="2">
        <s v="TM2"/>
        <s v="TM3"/>
      </sharedItems>
    </cacheField>
    <cacheField name="Team leader" numFmtId="0">
      <sharedItems count="3">
        <s v="TL2"/>
        <s v="TL3"/>
        <s v="TL1" u="1"/>
      </sharedItems>
    </cacheField>
    <cacheField name="Day" numFmtId="0">
      <sharedItems containsSemiMixedTypes="0" containsString="0" containsNumber="1" containsInteger="1" minValue="2" maxValue="31" count="10">
        <n v="2"/>
        <n v="7"/>
        <n v="9"/>
        <n v="15"/>
        <n v="5" u="1"/>
        <n v="8" u="1"/>
        <n v="11" u="1"/>
        <n v="24" u="1"/>
        <n v="31" u="1"/>
        <n v="16" u="1"/>
      </sharedItems>
    </cacheField>
    <cacheField name="Presence" numFmtId="0">
      <sharedItems count="1">
        <s v="8"/>
      </sharedItems>
    </cacheField>
    <cacheField name="Key" numFmtId="0">
      <sharedItems count="4">
        <s v="2J0000001"/>
        <s v="7J0000022"/>
        <s v="9J0000022"/>
        <s v="15J0000013"/>
      </sharedItems>
    </cacheField>
    <cacheField name="Custom" numFmtId="0">
      <sharedItems count="1">
        <s v="Office"/>
      </sharedItems>
    </cacheField>
    <cacheField name="PresenceStatus" numFmtId="0">
      <sharedItems count="1">
        <s v="Office"/>
      </sharedItems>
    </cacheField>
    <cacheField name="BadgeDay" numFmtId="0">
      <sharedItems containsString="0" containsBlank="1" count="1">
        <m/>
      </sharedItems>
    </cacheField>
    <cacheField name="TimeSheetDay" numFmtId="0">
      <sharedItems containsSemiMixedTypes="0" containsString="0" containsNumber="1" containsInteger="1" minValue="8" maxValue="8" count="1">
        <n v="8"/>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i Ro" refreshedDate="45650.361194212965" createdVersion="3" refreshedVersion="8" minRefreshableVersion="3" recordCount="0" supportSubquery="1" supportAdvancedDrill="1" xr:uid="{0719BA0D-A50D-4E5B-A9DB-E0ECC234BEFB}">
  <cacheSource type="external" connectionId="15">
    <extLst>
      <ext xmlns:x14="http://schemas.microsoft.com/office/spreadsheetml/2009/9/main" uri="{F057638F-6D5F-4e77-A914-E7F072B9BCA8}">
        <x14:sourceConnection name="ThisWorkbookDataModel"/>
      </ext>
    </extLst>
  </cacheSource>
  <cacheFields count="0"/>
  <cacheHierarchies count="14">
    <cacheHierarchy uniqueName="[TimeSheet].[No.]" caption="No." attribute="1" defaultMemberUniqueName="[TimeSheet].[No.].[All]" allUniqueName="[TimeSheet].[No.].[All]" dimensionUniqueName="[TimeSheet]" displayFolder="" count="0" memberValueDatatype="130" unbalanced="0"/>
    <cacheHierarchy uniqueName="[TimeSheet].[Full name]" caption="Full name" attribute="1" defaultMemberUniqueName="[TimeSheet].[Full name].[All]" allUniqueName="[TimeSheet].[Full name].[All]" dimensionUniqueName="[TimeSheet]" displayFolder="" count="0" memberValueDatatype="130" unbalanced="0"/>
    <cacheHierarchy uniqueName="[TimeSheet].[Internal number]" caption="Internal number" attribute="1" defaultMemberUniqueName="[TimeSheet].[Internal number].[All]" allUniqueName="[TimeSheet].[Internal number].[All]" dimensionUniqueName="[TimeSheet]" displayFolder="" count="0" memberValueDatatype="130" unbalanced="0"/>
    <cacheHierarchy uniqueName="[TimeSheet].[Department]" caption="Department" attribute="1" defaultMemberUniqueName="[TimeSheet].[Department].[All]" allUniqueName="[TimeSheet].[Department].[All]" dimensionUniqueName="[TimeSheet]" displayFolder="" count="0" memberValueDatatype="130" unbalanced="0"/>
    <cacheHierarchy uniqueName="[TimeSheet].[Team]" caption="Team" attribute="1" defaultMemberUniqueName="[TimeSheet].[Team].[All]" allUniqueName="[TimeSheet].[Team].[All]" dimensionUniqueName="[TimeSheet]" displayFolder="" count="0" memberValueDatatype="130" unbalanced="0"/>
    <cacheHierarchy uniqueName="[TimeSheet].[Team leader]" caption="Team leader" attribute="1" defaultMemberUniqueName="[TimeSheet].[Team leader].[All]" allUniqueName="[TimeSheet].[Team leader].[All]" dimensionUniqueName="[TimeSheet]" displayFolder="" count="0" memberValueDatatype="130" unbalanced="0"/>
    <cacheHierarchy uniqueName="[TimeSheet].[Day]" caption="Day" attribute="1" defaultMemberUniqueName="[TimeSheet].[Day].[All]" allUniqueName="[TimeSheet].[Day].[All]" dimensionUniqueName="[TimeSheet]" displayFolder="" count="0" memberValueDatatype="20" unbalanced="0"/>
    <cacheHierarchy uniqueName="[TimeSheet].[Presence]" caption="Presence" attribute="1" defaultMemberUniqueName="[TimeSheet].[Presence].[All]" allUniqueName="[TimeSheet].[Presence].[All]" dimensionUniqueName="[TimeSheet]" displayFolder="" count="0" memberValueDatatype="130" unbalanced="0"/>
    <cacheHierarchy uniqueName="[TimeSheet].[Key]" caption="Key" attribute="1" defaultMemberUniqueName="[TimeSheet].[Key].[All]" allUniqueName="[TimeSheet].[Key].[All]" dimensionUniqueName="[TimeSheet]" displayFolder="" count="0" memberValueDatatype="130" unbalanced="0"/>
    <cacheHierarchy uniqueName="[TimeSheet].[Custom]" caption="Custom" attribute="1" defaultMemberUniqueName="[TimeSheet].[Custom].[All]" allUniqueName="[TimeSheet].[Custom].[All]" dimensionUniqueName="[TimeSheet]" displayFolder="" count="0" memberValueDatatype="130" unbalanced="0"/>
    <cacheHierarchy uniqueName="[TimeSheet].[PresenceStatus]" caption="PresenceStatus" attribute="1" defaultMemberUniqueName="[TimeSheet].[PresenceStatus].[All]" allUniqueName="[TimeSheet].[PresenceStatus].[All]" dimensionUniqueName="[TimeSheet]" displayFolder="" count="2" memberValueDatatype="130" unbalanced="0"/>
    <cacheHierarchy uniqueName="[Measures].[__XL_Count TimeSheet]" caption="__XL_Count TimeSheet" measure="1" displayFolder="" measureGroup="TimeSheet" count="0" hidden="1"/>
    <cacheHierarchy uniqueName="[Measures].[__No measures defined]" caption="__No measures defined" measure="1" displayFolder="" count="0" hidden="1"/>
    <cacheHierarchy uniqueName="[Measures].[Count of Internal number]" caption="Count of Internal number" measure="1" displayFolder="" measureGroup="TimeSheet" count="0" hidden="1">
      <extLst>
        <ext xmlns:x15="http://schemas.microsoft.com/office/spreadsheetml/2010/11/main" uri="{B97F6D7D-B522-45F9-BDA1-12C45D357490}">
          <x15:cacheHierarchy aggregatedColumn="2"/>
        </ext>
      </extLst>
    </cacheHierarchy>
  </cacheHierarchies>
  <kpis count="0"/>
  <extLst>
    <ext xmlns:x14="http://schemas.microsoft.com/office/spreadsheetml/2009/9/main" uri="{725AE2AE-9491-48be-B2B4-4EB974FC3084}">
      <x14:pivotCacheDefinition slicerData="1" pivotCacheId="2061291858"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i Ro" refreshedDate="45650.36133472222" createdVersion="5" refreshedVersion="8" minRefreshableVersion="3" recordCount="0" supportSubquery="1" supportAdvancedDrill="1" xr:uid="{72B8BECF-D5FA-449B-B549-4AE91C285537}">
  <cacheSource type="external" connectionId="15">
    <extLst>
      <ext xmlns:x14="http://schemas.microsoft.com/office/spreadsheetml/2009/9/main" uri="{F057638F-6D5F-4e77-A914-E7F072B9BCA8}">
        <x14:sourceConnection name="ThisWorkbookDataModel"/>
      </ext>
    </extLst>
  </cacheSource>
  <cacheFields count="3">
    <cacheField name="[TimeSheet].[Day].[Day]" caption="Day" numFmtId="0" hierarchy="6" level="1">
      <sharedItems containsSemiMixedTypes="0" containsString="0" containsNumber="1" containsInteger="1" minValue="1" maxValue="29" count="21">
        <n v="1"/>
        <n v="2"/>
        <n v="5"/>
        <n v="6"/>
        <n v="7"/>
        <n v="8"/>
        <n v="9"/>
        <n v="12"/>
        <n v="13"/>
        <n v="14"/>
        <n v="15"/>
        <n v="16"/>
        <n v="19"/>
        <n v="20"/>
        <n v="21"/>
        <n v="22"/>
        <n v="23"/>
        <n v="26"/>
        <n v="27"/>
        <n v="28"/>
        <n v="29"/>
      </sharedItems>
      <extLst>
        <ext xmlns:x15="http://schemas.microsoft.com/office/spreadsheetml/2010/11/main" uri="{4F2E5C28-24EA-4eb8-9CBF-B6C8F9C3D259}">
          <x15:cachedUniqueNames>
            <x15:cachedUniqueName index="0" name="[TimeSheet].[Day].&amp;[1]"/>
            <x15:cachedUniqueName index="1" name="[TimeSheet].[Day].&amp;[2]"/>
            <x15:cachedUniqueName index="2" name="[TimeSheet].[Day].&amp;[5]"/>
            <x15:cachedUniqueName index="3" name="[TimeSheet].[Day].&amp;[6]"/>
            <x15:cachedUniqueName index="4" name="[TimeSheet].[Day].&amp;[7]"/>
            <x15:cachedUniqueName index="5" name="[TimeSheet].[Day].&amp;[8]"/>
            <x15:cachedUniqueName index="6" name="[TimeSheet].[Day].&amp;[9]"/>
            <x15:cachedUniqueName index="7" name="[TimeSheet].[Day].&amp;[12]"/>
            <x15:cachedUniqueName index="8" name="[TimeSheet].[Day].&amp;[13]"/>
            <x15:cachedUniqueName index="9" name="[TimeSheet].[Day].&amp;[14]"/>
            <x15:cachedUniqueName index="10" name="[TimeSheet].[Day].&amp;[15]"/>
            <x15:cachedUniqueName index="11" name="[TimeSheet].[Day].&amp;[16]"/>
            <x15:cachedUniqueName index="12" name="[TimeSheet].[Day].&amp;[19]"/>
            <x15:cachedUniqueName index="13" name="[TimeSheet].[Day].&amp;[20]"/>
            <x15:cachedUniqueName index="14" name="[TimeSheet].[Day].&amp;[21]"/>
            <x15:cachedUniqueName index="15" name="[TimeSheet].[Day].&amp;[22]"/>
            <x15:cachedUniqueName index="16" name="[TimeSheet].[Day].&amp;[23]"/>
            <x15:cachedUniqueName index="17" name="[TimeSheet].[Day].&amp;[26]"/>
            <x15:cachedUniqueName index="18" name="[TimeSheet].[Day].&amp;[27]"/>
            <x15:cachedUniqueName index="19" name="[TimeSheet].[Day].&amp;[28]"/>
            <x15:cachedUniqueName index="20" name="[TimeSheet].[Day].&amp;[29]"/>
          </x15:cachedUniqueNames>
        </ext>
      </extLst>
    </cacheField>
    <cacheField name="[TimeSheet].[PresenceStatus].[PresenceStatus]" caption="PresenceStatus" numFmtId="0" hierarchy="10" level="1">
      <sharedItems count="5">
        <s v="Office"/>
        <s v="CM" u="1"/>
        <s v="Co" u="1"/>
        <s v="RSL" u="1"/>
        <s v="TW" u="1"/>
      </sharedItems>
    </cacheField>
    <cacheField name="[Measures].[Count of Internal number]" caption="Count of Internal number" numFmtId="0" hierarchy="13" level="32767"/>
  </cacheFields>
  <cacheHierarchies count="14">
    <cacheHierarchy uniqueName="[TimeSheet].[No.]" caption="No." attribute="1" defaultMemberUniqueName="[TimeSheet].[No.].[All]" allUniqueName="[TimeSheet].[No.].[All]" dimensionUniqueName="[TimeSheet]" displayFolder="" count="0" memberValueDatatype="130" unbalanced="0"/>
    <cacheHierarchy uniqueName="[TimeSheet].[Full name]" caption="Full name" attribute="1" defaultMemberUniqueName="[TimeSheet].[Full name].[All]" allUniqueName="[TimeSheet].[Full name].[All]" dimensionUniqueName="[TimeSheet]" displayFolder="" count="0" memberValueDatatype="130" unbalanced="0"/>
    <cacheHierarchy uniqueName="[TimeSheet].[Internal number]" caption="Internal number" attribute="1" defaultMemberUniqueName="[TimeSheet].[Internal number].[All]" allUniqueName="[TimeSheet].[Internal number].[All]" dimensionUniqueName="[TimeSheet]" displayFolder="" count="0" memberValueDatatype="130" unbalanced="0"/>
    <cacheHierarchy uniqueName="[TimeSheet].[Department]" caption="Department" attribute="1" defaultMemberUniqueName="[TimeSheet].[Department].[All]" allUniqueName="[TimeSheet].[Department].[All]" dimensionUniqueName="[TimeSheet]" displayFolder="" count="0" memberValueDatatype="130" unbalanced="0"/>
    <cacheHierarchy uniqueName="[TimeSheet].[Team]" caption="Team" attribute="1" defaultMemberUniqueName="[TimeSheet].[Team].[All]" allUniqueName="[TimeSheet].[Team].[All]" dimensionUniqueName="[TimeSheet]" displayFolder="" count="0" memberValueDatatype="130" unbalanced="0"/>
    <cacheHierarchy uniqueName="[TimeSheet].[Team leader]" caption="Team leader" attribute="1" defaultMemberUniqueName="[TimeSheet].[Team leader].[All]" allUniqueName="[TimeSheet].[Team leader].[All]" dimensionUniqueName="[TimeSheet]" displayFolder="" count="0" memberValueDatatype="130" unbalanced="0"/>
    <cacheHierarchy uniqueName="[TimeSheet].[Day]" caption="Day" attribute="1" defaultMemberUniqueName="[TimeSheet].[Day].[All]" allUniqueName="[TimeSheet].[Day].[All]" dimensionUniqueName="[TimeSheet]" displayFolder="" count="2" memberValueDatatype="20" unbalanced="0">
      <fieldsUsage count="2">
        <fieldUsage x="-1"/>
        <fieldUsage x="0"/>
      </fieldsUsage>
    </cacheHierarchy>
    <cacheHierarchy uniqueName="[TimeSheet].[Presence]" caption="Presence" attribute="1" defaultMemberUniqueName="[TimeSheet].[Presence].[All]" allUniqueName="[TimeSheet].[Presence].[All]" dimensionUniqueName="[TimeSheet]" displayFolder="" count="0" memberValueDatatype="130" unbalanced="0"/>
    <cacheHierarchy uniqueName="[TimeSheet].[Key]" caption="Key" attribute="1" defaultMemberUniqueName="[TimeSheet].[Key].[All]" allUniqueName="[TimeSheet].[Key].[All]" dimensionUniqueName="[TimeSheet]" displayFolder="" count="0" memberValueDatatype="130" unbalanced="0"/>
    <cacheHierarchy uniqueName="[TimeSheet].[Custom]" caption="Custom" attribute="1" defaultMemberUniqueName="[TimeSheet].[Custom].[All]" allUniqueName="[TimeSheet].[Custom].[All]" dimensionUniqueName="[TimeSheet]" displayFolder="" count="0" memberValueDatatype="130" unbalanced="0"/>
    <cacheHierarchy uniqueName="[TimeSheet].[PresenceStatus]" caption="PresenceStatus" attribute="1" defaultMemberUniqueName="[TimeSheet].[PresenceStatus].[All]" allUniqueName="[TimeSheet].[PresenceStatus].[All]" dimensionUniqueName="[TimeSheet]" displayFolder="" count="2" memberValueDatatype="130" unbalanced="0">
      <fieldsUsage count="2">
        <fieldUsage x="-1"/>
        <fieldUsage x="1"/>
      </fieldsUsage>
    </cacheHierarchy>
    <cacheHierarchy uniqueName="[Measures].[__XL_Count TimeSheet]" caption="__XL_Count TimeSheet" measure="1" displayFolder="" measureGroup="TimeSheet" count="0" hidden="1"/>
    <cacheHierarchy uniqueName="[Measures].[__No measures defined]" caption="__No measures defined" measure="1" displayFolder="" count="0" hidden="1"/>
    <cacheHierarchy uniqueName="[Measures].[Count of Internal number]" caption="Count of Internal number" measure="1" displayFolder="" measureGroup="TimeSheet" count="0" oneField="1" hidden="1">
      <fieldsUsage count="1">
        <fieldUsage x="2"/>
      </fieldsUsage>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TimeSheet" uniqueName="[TimeSheet]" caption="TimeSheet"/>
  </dimensions>
  <measureGroups count="1">
    <measureGroup name="TimeSheet" caption="TimeSheet"/>
  </measureGroups>
  <maps count="1">
    <map measureGroup="0" dimension="1"/>
  </maps>
  <extLst>
    <ext xmlns:x14="http://schemas.microsoft.com/office/spreadsheetml/2009/9/main" uri="{725AE2AE-9491-48be-B2B4-4EB974FC3084}">
      <x14:pivotCacheDefinition pivotCacheId="1398960626"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i Ro" refreshedDate="45650.361335300928" createdVersion="5" refreshedVersion="8" minRefreshableVersion="3" recordCount="0" supportSubquery="1" supportAdvancedDrill="1" xr:uid="{3F332B95-CFDE-4064-8522-3A34153B035C}">
  <cacheSource type="external" connectionId="15">
    <extLst>
      <ext xmlns:x14="http://schemas.microsoft.com/office/spreadsheetml/2009/9/main" uri="{F057638F-6D5F-4e77-A914-E7F072B9BCA8}">
        <x14:sourceConnection name="ThisWorkbookDataModel"/>
      </ext>
    </extLst>
  </cacheSource>
  <cacheFields count="3">
    <cacheField name="[TimeSheet].[Day].[Day]" caption="Day" numFmtId="0" hierarchy="6" level="1">
      <sharedItems containsSemiMixedTypes="0" containsString="0" containsNumber="1" containsInteger="1" minValue="1" maxValue="29" count="21">
        <n v="1"/>
        <n v="2"/>
        <n v="5"/>
        <n v="6"/>
        <n v="7"/>
        <n v="8"/>
        <n v="9"/>
        <n v="12"/>
        <n v="13"/>
        <n v="14"/>
        <n v="15"/>
        <n v="16"/>
        <n v="19"/>
        <n v="20"/>
        <n v="21"/>
        <n v="22"/>
        <n v="23"/>
        <n v="26"/>
        <n v="27"/>
        <n v="28"/>
        <n v="29"/>
      </sharedItems>
      <extLst>
        <ext xmlns:x15="http://schemas.microsoft.com/office/spreadsheetml/2010/11/main" uri="{4F2E5C28-24EA-4eb8-9CBF-B6C8F9C3D259}">
          <x15:cachedUniqueNames>
            <x15:cachedUniqueName index="0" name="[TimeSheet].[Day].&amp;[1]"/>
            <x15:cachedUniqueName index="1" name="[TimeSheet].[Day].&amp;[2]"/>
            <x15:cachedUniqueName index="2" name="[TimeSheet].[Day].&amp;[5]"/>
            <x15:cachedUniqueName index="3" name="[TimeSheet].[Day].&amp;[6]"/>
            <x15:cachedUniqueName index="4" name="[TimeSheet].[Day].&amp;[7]"/>
            <x15:cachedUniqueName index="5" name="[TimeSheet].[Day].&amp;[8]"/>
            <x15:cachedUniqueName index="6" name="[TimeSheet].[Day].&amp;[9]"/>
            <x15:cachedUniqueName index="7" name="[TimeSheet].[Day].&amp;[12]"/>
            <x15:cachedUniqueName index="8" name="[TimeSheet].[Day].&amp;[13]"/>
            <x15:cachedUniqueName index="9" name="[TimeSheet].[Day].&amp;[14]"/>
            <x15:cachedUniqueName index="10" name="[TimeSheet].[Day].&amp;[15]"/>
            <x15:cachedUniqueName index="11" name="[TimeSheet].[Day].&amp;[16]"/>
            <x15:cachedUniqueName index="12" name="[TimeSheet].[Day].&amp;[19]"/>
            <x15:cachedUniqueName index="13" name="[TimeSheet].[Day].&amp;[20]"/>
            <x15:cachedUniqueName index="14" name="[TimeSheet].[Day].&amp;[21]"/>
            <x15:cachedUniqueName index="15" name="[TimeSheet].[Day].&amp;[22]"/>
            <x15:cachedUniqueName index="16" name="[TimeSheet].[Day].&amp;[23]"/>
            <x15:cachedUniqueName index="17" name="[TimeSheet].[Day].&amp;[26]"/>
            <x15:cachedUniqueName index="18" name="[TimeSheet].[Day].&amp;[27]"/>
            <x15:cachedUniqueName index="19" name="[TimeSheet].[Day].&amp;[28]"/>
            <x15:cachedUniqueName index="20" name="[TimeSheet].[Day].&amp;[29]"/>
          </x15:cachedUniqueNames>
        </ext>
      </extLst>
    </cacheField>
    <cacheField name="[TimeSheet].[PresenceStatus].[PresenceStatus]" caption="PresenceStatus" numFmtId="0" hierarchy="10" level="1">
      <sharedItems count="5">
        <s v="Office"/>
        <s v="CM" u="1"/>
        <s v="Co" u="1"/>
        <s v="RSL" u="1"/>
        <s v="TW" u="1"/>
      </sharedItems>
    </cacheField>
    <cacheField name="[Measures].[Count of Internal number]" caption="Count of Internal number" numFmtId="0" hierarchy="13" level="32767"/>
  </cacheFields>
  <cacheHierarchies count="14">
    <cacheHierarchy uniqueName="[TimeSheet].[No.]" caption="No." attribute="1" defaultMemberUniqueName="[TimeSheet].[No.].[All]" allUniqueName="[TimeSheet].[No.].[All]" dimensionUniqueName="[TimeSheet]" displayFolder="" count="0" memberValueDatatype="130" unbalanced="0"/>
    <cacheHierarchy uniqueName="[TimeSheet].[Full name]" caption="Full name" attribute="1" defaultMemberUniqueName="[TimeSheet].[Full name].[All]" allUniqueName="[TimeSheet].[Full name].[All]" dimensionUniqueName="[TimeSheet]" displayFolder="" count="0" memberValueDatatype="130" unbalanced="0"/>
    <cacheHierarchy uniqueName="[TimeSheet].[Internal number]" caption="Internal number" attribute="1" defaultMemberUniqueName="[TimeSheet].[Internal number].[All]" allUniqueName="[TimeSheet].[Internal number].[All]" dimensionUniqueName="[TimeSheet]" displayFolder="" count="0" memberValueDatatype="130" unbalanced="0"/>
    <cacheHierarchy uniqueName="[TimeSheet].[Department]" caption="Department" attribute="1" defaultMemberUniqueName="[TimeSheet].[Department].[All]" allUniqueName="[TimeSheet].[Department].[All]" dimensionUniqueName="[TimeSheet]" displayFolder="" count="0" memberValueDatatype="130" unbalanced="0"/>
    <cacheHierarchy uniqueName="[TimeSheet].[Team]" caption="Team" attribute="1" defaultMemberUniqueName="[TimeSheet].[Team].[All]" allUniqueName="[TimeSheet].[Team].[All]" dimensionUniqueName="[TimeSheet]" displayFolder="" count="0" memberValueDatatype="130" unbalanced="0"/>
    <cacheHierarchy uniqueName="[TimeSheet].[Team leader]" caption="Team leader" attribute="1" defaultMemberUniqueName="[TimeSheet].[Team leader].[All]" allUniqueName="[TimeSheet].[Team leader].[All]" dimensionUniqueName="[TimeSheet]" displayFolder="" count="0" memberValueDatatype="130" unbalanced="0"/>
    <cacheHierarchy uniqueName="[TimeSheet].[Day]" caption="Day" attribute="1" defaultMemberUniqueName="[TimeSheet].[Day].[All]" allUniqueName="[TimeSheet].[Day].[All]" dimensionUniqueName="[TimeSheet]" displayFolder="" count="2" memberValueDatatype="20" unbalanced="0">
      <fieldsUsage count="2">
        <fieldUsage x="-1"/>
        <fieldUsage x="0"/>
      </fieldsUsage>
    </cacheHierarchy>
    <cacheHierarchy uniqueName="[TimeSheet].[Presence]" caption="Presence" attribute="1" defaultMemberUniqueName="[TimeSheet].[Presence].[All]" allUniqueName="[TimeSheet].[Presence].[All]" dimensionUniqueName="[TimeSheet]" displayFolder="" count="0" memberValueDatatype="130" unbalanced="0"/>
    <cacheHierarchy uniqueName="[TimeSheet].[Key]" caption="Key" attribute="1" defaultMemberUniqueName="[TimeSheet].[Key].[All]" allUniqueName="[TimeSheet].[Key].[All]" dimensionUniqueName="[TimeSheet]" displayFolder="" count="0" memberValueDatatype="130" unbalanced="0"/>
    <cacheHierarchy uniqueName="[TimeSheet].[Custom]" caption="Custom" attribute="1" defaultMemberUniqueName="[TimeSheet].[Custom].[All]" allUniqueName="[TimeSheet].[Custom].[All]" dimensionUniqueName="[TimeSheet]" displayFolder="" count="0" memberValueDatatype="130" unbalanced="0"/>
    <cacheHierarchy uniqueName="[TimeSheet].[PresenceStatus]" caption="PresenceStatus" attribute="1" defaultMemberUniqueName="[TimeSheet].[PresenceStatus].[All]" allUniqueName="[TimeSheet].[PresenceStatus].[All]" dimensionUniqueName="[TimeSheet]" displayFolder="" count="2" memberValueDatatype="130" unbalanced="0">
      <fieldsUsage count="2">
        <fieldUsage x="-1"/>
        <fieldUsage x="1"/>
      </fieldsUsage>
    </cacheHierarchy>
    <cacheHierarchy uniqueName="[Measures].[__XL_Count TimeSheet]" caption="__XL_Count TimeSheet" measure="1" displayFolder="" measureGroup="TimeSheet" count="0" hidden="1"/>
    <cacheHierarchy uniqueName="[Measures].[__No measures defined]" caption="__No measures defined" measure="1" displayFolder="" count="0" hidden="1"/>
    <cacheHierarchy uniqueName="[Measures].[Count of Internal number]" caption="Count of Internal number" measure="1" displayFolder="" measureGroup="TimeSheet" count="0" oneField="1" hidden="1">
      <fieldsUsage count="1">
        <fieldUsage x="2"/>
      </fieldsUsage>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TimeSheet" uniqueName="[TimeSheet]" caption="TimeSheet"/>
  </dimensions>
  <measureGroups count="1">
    <measureGroup name="TimeSheet" caption="TimeSheet"/>
  </measureGroups>
  <maps count="1">
    <map measureGroup="0" dimension="1"/>
  </maps>
  <extLst>
    <ext xmlns:x14="http://schemas.microsoft.com/office/spreadsheetml/2009/9/main" uri="{725AE2AE-9491-48be-B2B4-4EB974FC3084}">
      <x14:pivotCacheDefinition pivotCacheId="1239316796"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x v="0"/>
    <x v="0"/>
    <x v="0"/>
    <x v="0"/>
    <x v="0"/>
    <x v="0"/>
    <x v="0"/>
    <x v="0"/>
    <x v="0"/>
    <x v="0"/>
    <x v="0"/>
    <x v="0"/>
  </r>
  <r>
    <x v="1"/>
    <x v="1"/>
    <x v="1"/>
    <x v="1"/>
    <x v="1"/>
    <x v="1"/>
    <x v="1"/>
    <x v="0"/>
    <x v="1"/>
    <x v="0"/>
    <x v="0"/>
    <x v="0"/>
    <x v="0"/>
  </r>
  <r>
    <x v="1"/>
    <x v="1"/>
    <x v="1"/>
    <x v="1"/>
    <x v="1"/>
    <x v="1"/>
    <x v="2"/>
    <x v="0"/>
    <x v="2"/>
    <x v="0"/>
    <x v="0"/>
    <x v="0"/>
    <x v="0"/>
  </r>
  <r>
    <x v="2"/>
    <x v="2"/>
    <x v="2"/>
    <x v="1"/>
    <x v="1"/>
    <x v="1"/>
    <x v="3"/>
    <x v="0"/>
    <x v="3"/>
    <x v="0"/>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D9515AB-35F2-46F5-AF37-9218CF046E78}" name="PivotChartTable2" cacheId="76"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4">
  <location ref="A1:C24" firstHeaderRow="1" firstDataRow="2" firstDataCol="1"/>
  <pivotFields count="3">
    <pivotField axis="axisRow" allDrilled="1" subtotalTop="0" showAll="0" dataSourceSort="1" defaultSubtotal="0" defaultAttributeDrillState="1">
      <items count="21">
        <item x="0"/>
        <item x="1"/>
        <item x="2"/>
        <item x="3"/>
        <item x="4"/>
        <item x="5"/>
        <item x="6"/>
        <item x="7"/>
        <item x="8"/>
        <item x="9"/>
        <item x="10"/>
        <item x="11"/>
        <item x="12"/>
        <item x="13"/>
        <item x="14"/>
        <item x="15"/>
        <item x="16"/>
        <item x="17"/>
        <item x="18"/>
        <item x="19"/>
        <item x="20"/>
      </items>
    </pivotField>
    <pivotField axis="axisCol" allDrilled="1" subtotalTop="0" showAll="0" dataSourceSort="1" defaultSubtotal="0" defaultAttributeDrillState="1">
      <items count="5">
        <item s="1" x="0"/>
        <item x="1"/>
        <item x="2"/>
        <item x="3"/>
        <item x="4"/>
      </items>
    </pivotField>
    <pivotField dataField="1" subtotalTop="0" showAll="0" defaultSubtotal="0"/>
  </pivotFields>
  <rowFields count="1">
    <field x="0"/>
  </rowFields>
  <rowItems count="22">
    <i>
      <x/>
    </i>
    <i>
      <x v="1"/>
    </i>
    <i>
      <x v="2"/>
    </i>
    <i>
      <x v="3"/>
    </i>
    <i>
      <x v="4"/>
    </i>
    <i>
      <x v="5"/>
    </i>
    <i>
      <x v="6"/>
    </i>
    <i>
      <x v="7"/>
    </i>
    <i>
      <x v="8"/>
    </i>
    <i>
      <x v="9"/>
    </i>
    <i>
      <x v="10"/>
    </i>
    <i>
      <x v="11"/>
    </i>
    <i>
      <x v="12"/>
    </i>
    <i>
      <x v="13"/>
    </i>
    <i>
      <x v="14"/>
    </i>
    <i>
      <x v="15"/>
    </i>
    <i>
      <x v="16"/>
    </i>
    <i>
      <x v="17"/>
    </i>
    <i>
      <x v="18"/>
    </i>
    <i>
      <x v="19"/>
    </i>
    <i>
      <x v="20"/>
    </i>
    <i t="grand">
      <x/>
    </i>
  </rowItems>
  <colFields count="1">
    <field x="1"/>
  </colFields>
  <colItems count="2">
    <i>
      <x/>
    </i>
    <i t="grand">
      <x/>
    </i>
  </colItems>
  <dataFields count="1">
    <dataField name="Count of Internal number" fld="2" subtotal="count" showDataAs="runTotal" baseField="0" baseItem="2"/>
  </dataFields>
  <chartFormats count="8">
    <chartFormat chart="0" format="0" series="1">
      <pivotArea type="data" outline="0" fieldPosition="0">
        <references count="1">
          <reference field="1" count="1" selected="0">
            <x v="1"/>
          </reference>
        </references>
      </pivotArea>
    </chartFormat>
    <chartFormat chart="0" format="1" series="1">
      <pivotArea type="data" outline="0" fieldPosition="0">
        <references count="1">
          <reference field="1" count="1" selected="0">
            <x v="2"/>
          </reference>
        </references>
      </pivotArea>
    </chartFormat>
    <chartFormat chart="0" format="4" series="1">
      <pivotArea type="data" outline="0" fieldPosition="0">
        <references count="1">
          <reference field="1" count="1" selected="0">
            <x v="4"/>
          </reference>
        </references>
      </pivotArea>
    </chartFormat>
    <chartFormat chart="0" format="7" series="1">
      <pivotArea type="data" outline="0" fieldPosition="0">
        <references count="2">
          <reference field="4294967294" count="1" selected="0">
            <x v="0"/>
          </reference>
          <reference field="1" count="1" selected="0">
            <x v="4"/>
          </reference>
        </references>
      </pivotArea>
    </chartFormat>
    <chartFormat chart="0" format="8" series="1">
      <pivotArea type="data" outline="0" fieldPosition="0">
        <references count="2">
          <reference field="4294967294" count="1" selected="0">
            <x v="0"/>
          </reference>
          <reference field="1" count="1" selected="0">
            <x v="2"/>
          </reference>
        </references>
      </pivotArea>
    </chartFormat>
    <chartFormat chart="0" format="9" series="1">
      <pivotArea type="data" outline="0" fieldPosition="0">
        <references count="2">
          <reference field="4294967294" count="1" selected="0">
            <x v="0"/>
          </reference>
          <reference field="1" count="1" selected="0">
            <x v="1"/>
          </reference>
        </references>
      </pivotArea>
    </chartFormat>
    <chartFormat chart="0" format="18" series="1">
      <pivotArea type="data" outline="0" fieldPosition="0">
        <references count="2">
          <reference field="4294967294" count="1" selected="0">
            <x v="0"/>
          </reference>
          <reference field="1" count="1" selected="0">
            <x v="0"/>
          </reference>
        </references>
      </pivotArea>
    </chartFormat>
    <chartFormat chart="0" format="23" series="1">
      <pivotArea type="data" outline="0" fieldPosition="0">
        <references count="2">
          <reference field="4294967294" count="1" selected="0">
            <x v="0"/>
          </reference>
          <reference field="1" count="1" selected="0">
            <x v="3"/>
          </reference>
        </references>
      </pivotArea>
    </chartFormat>
  </chartFormats>
  <pivotHierarchies count="1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ies>
  <rowHierarchiesUsage count="1">
    <rowHierarchyUsage hierarchyUsage="6"/>
  </rowHierarchiesUsage>
  <colHierarchiesUsage count="1">
    <colHierarchyUsage hierarchyUsage="1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22" columnCount="2" cacheId="1239316796">
        <x15:pivotRow count="2">
          <x15:c>
            <x15:v>8</x15:v>
          </x15:c>
          <x15:c>
            <x15:v>8</x15:v>
          </x15:c>
        </x15:pivotRow>
        <x15:pivotRow count="2">
          <x15:c>
            <x15:v>11</x15:v>
          </x15:c>
          <x15:c>
            <x15:v>11</x15:v>
          </x15:c>
        </x15:pivotRow>
        <x15:pivotRow count="2">
          <x15:c>
            <x15:v>21</x15:v>
          </x15:c>
          <x15:c>
            <x15:v>21</x15:v>
          </x15:c>
        </x15:pivotRow>
        <x15:pivotRow count="2">
          <x15:c>
            <x15:v>31</x15:v>
          </x15:c>
          <x15:c>
            <x15:v>31</x15:v>
          </x15:c>
        </x15:pivotRow>
        <x15:pivotRow count="2">
          <x15:c>
            <x15:v>42</x15:v>
          </x15:c>
          <x15:c>
            <x15:v>42</x15:v>
          </x15:c>
        </x15:pivotRow>
        <x15:pivotRow count="2">
          <x15:c>
            <x15:v>51</x15:v>
          </x15:c>
          <x15:c>
            <x15:v>51</x15:v>
          </x15:c>
        </x15:pivotRow>
        <x15:pivotRow count="2">
          <x15:c>
            <x15:v>56</x15:v>
          </x15:c>
          <x15:c>
            <x15:v>56</x15:v>
          </x15:c>
        </x15:pivotRow>
        <x15:pivotRow count="2">
          <x15:c>
            <x15:v>60</x15:v>
          </x15:c>
          <x15:c>
            <x15:v>60</x15:v>
          </x15:c>
        </x15:pivotRow>
        <x15:pivotRow count="2">
          <x15:c>
            <x15:v>73</x15:v>
          </x15:c>
          <x15:c>
            <x15:v>73</x15:v>
          </x15:c>
        </x15:pivotRow>
        <x15:pivotRow count="2">
          <x15:c>
            <x15:v>81</x15:v>
          </x15:c>
          <x15:c>
            <x15:v>81</x15:v>
          </x15:c>
        </x15:pivotRow>
        <x15:pivotRow count="2">
          <x15:c>
            <x15:v>92</x15:v>
          </x15:c>
          <x15:c>
            <x15:v>92</x15:v>
          </x15:c>
        </x15:pivotRow>
        <x15:pivotRow count="2">
          <x15:c>
            <x15:v>96</x15:v>
          </x15:c>
          <x15:c>
            <x15:v>96</x15:v>
          </x15:c>
        </x15:pivotRow>
        <x15:pivotRow count="2">
          <x15:c>
            <x15:v>105</x15:v>
          </x15:c>
          <x15:c>
            <x15:v>105</x15:v>
          </x15:c>
        </x15:pivotRow>
        <x15:pivotRow count="2">
          <x15:c>
            <x15:v>111</x15:v>
          </x15:c>
          <x15:c>
            <x15:v>111</x15:v>
          </x15:c>
        </x15:pivotRow>
        <x15:pivotRow count="2">
          <x15:c>
            <x15:v>118</x15:v>
          </x15:c>
          <x15:c>
            <x15:v>118</x15:v>
          </x15:c>
        </x15:pivotRow>
        <x15:pivotRow count="2">
          <x15:c>
            <x15:v>127</x15:v>
          </x15:c>
          <x15:c>
            <x15:v>127</x15:v>
          </x15:c>
        </x15:pivotRow>
        <x15:pivotRow count="2">
          <x15:c>
            <x15:v>133</x15:v>
          </x15:c>
          <x15:c>
            <x15:v>133</x15:v>
          </x15:c>
        </x15:pivotRow>
        <x15:pivotRow count="2">
          <x15:c>
            <x15:v>141</x15:v>
          </x15:c>
          <x15:c>
            <x15:v>141</x15:v>
          </x15:c>
        </x15:pivotRow>
        <x15:pivotRow count="2">
          <x15:c>
            <x15:v>151</x15:v>
          </x15:c>
          <x15:c>
            <x15:v>151</x15:v>
          </x15:c>
        </x15:pivotRow>
        <x15:pivotRow count="2">
          <x15:c>
            <x15:v>160</x15:v>
          </x15:c>
          <x15:c>
            <x15:v>160</x15:v>
          </x15:c>
        </x15:pivotRow>
        <x15:pivotRow count="2">
          <x15:c>
            <x15:v>172</x15:v>
          </x15:c>
          <x15:c>
            <x15:v>172</x15:v>
          </x15:c>
        </x15:pivotRow>
        <x15:pivotRow count="2">
          <x15:c t="bl">
            <x15:v/>
          </x15:c>
          <x15:c t="bl">
            <x15:v/>
          </x15:c>
        </x15:pivotRow>
      </x15:pivotTableData>
    </ext>
    <ext xmlns:x15="http://schemas.microsoft.com/office/spreadsheetml/2010/11/main" uri="{E67621CE-5B39-4880-91FE-76760E9C1902}">
      <x15:pivotTableUISettings>
        <x15:activeTabTopLevelEntity name="[TimeShe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D9515AB-35F2-46F5-AF37-9218CF046E78}" name="PivotChartTable3" cacheId="73"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3">
  <location ref="A1:C24" firstHeaderRow="1" firstDataRow="2" firstDataCol="1"/>
  <pivotFields count="3">
    <pivotField axis="axisRow" allDrilled="1" subtotalTop="0" showAll="0" dataSourceSort="1" defaultSubtotal="0" defaultAttributeDrillState="1">
      <items count="21">
        <item x="0"/>
        <item x="1"/>
        <item x="2"/>
        <item x="3"/>
        <item x="4"/>
        <item x="5"/>
        <item x="6"/>
        <item x="7"/>
        <item x="8"/>
        <item x="9"/>
        <item x="10"/>
        <item x="11"/>
        <item x="12"/>
        <item x="13"/>
        <item x="14"/>
        <item x="15"/>
        <item x="16"/>
        <item x="17"/>
        <item x="18"/>
        <item x="19"/>
        <item x="20"/>
      </items>
    </pivotField>
    <pivotField axis="axisCol" allDrilled="1" subtotalTop="0" showAll="0" dataSourceSort="1" defaultSubtotal="0" defaultAttributeDrillState="1">
      <items count="5">
        <item s="1" x="0"/>
        <item x="1"/>
        <item x="2"/>
        <item x="3"/>
        <item x="4"/>
      </items>
    </pivotField>
    <pivotField dataField="1" subtotalTop="0" showAll="0" defaultSubtotal="0"/>
  </pivotFields>
  <rowFields count="1">
    <field x="0"/>
  </rowFields>
  <rowItems count="22">
    <i>
      <x/>
    </i>
    <i>
      <x v="1"/>
    </i>
    <i>
      <x v="2"/>
    </i>
    <i>
      <x v="3"/>
    </i>
    <i>
      <x v="4"/>
    </i>
    <i>
      <x v="5"/>
    </i>
    <i>
      <x v="6"/>
    </i>
    <i>
      <x v="7"/>
    </i>
    <i>
      <x v="8"/>
    </i>
    <i>
      <x v="9"/>
    </i>
    <i>
      <x v="10"/>
    </i>
    <i>
      <x v="11"/>
    </i>
    <i>
      <x v="12"/>
    </i>
    <i>
      <x v="13"/>
    </i>
    <i>
      <x v="14"/>
    </i>
    <i>
      <x v="15"/>
    </i>
    <i>
      <x v="16"/>
    </i>
    <i>
      <x v="17"/>
    </i>
    <i>
      <x v="18"/>
    </i>
    <i>
      <x v="19"/>
    </i>
    <i>
      <x v="20"/>
    </i>
    <i t="grand">
      <x/>
    </i>
  </rowItems>
  <colFields count="1">
    <field x="1"/>
  </colFields>
  <colItems count="2">
    <i>
      <x/>
    </i>
    <i t="grand">
      <x/>
    </i>
  </colItems>
  <dataFields count="1">
    <dataField name="Count of Internal number" fld="2" subtotal="count" baseField="0" baseItem="2"/>
  </dataFields>
  <chartFormats count="12">
    <chartFormat chart="0" format="0" series="1">
      <pivotArea type="data" outline="0" fieldPosition="0">
        <references count="1">
          <reference field="1" count="1" selected="0">
            <x v="1"/>
          </reference>
        </references>
      </pivotArea>
    </chartFormat>
    <chartFormat chart="0" format="1" series="1">
      <pivotArea type="data" outline="0" fieldPosition="0">
        <references count="1">
          <reference field="1" count="1" selected="0">
            <x v="2"/>
          </reference>
        </references>
      </pivotArea>
    </chartFormat>
    <chartFormat chart="0" format="4" series="1">
      <pivotArea type="data" outline="0" fieldPosition="0">
        <references count="1">
          <reference field="1" count="1" selected="0">
            <x v="4"/>
          </reference>
        </references>
      </pivotArea>
    </chartFormat>
    <chartFormat chart="0" format="7" series="1">
      <pivotArea type="data" outline="0" fieldPosition="0">
        <references count="2">
          <reference field="4294967294" count="1" selected="0">
            <x v="0"/>
          </reference>
          <reference field="1" count="1" selected="0">
            <x v="4"/>
          </reference>
        </references>
      </pivotArea>
    </chartFormat>
    <chartFormat chart="0" format="8" series="1">
      <pivotArea type="data" outline="0" fieldPosition="0">
        <references count="2">
          <reference field="4294967294" count="1" selected="0">
            <x v="0"/>
          </reference>
          <reference field="1" count="1" selected="0">
            <x v="2"/>
          </reference>
        </references>
      </pivotArea>
    </chartFormat>
    <chartFormat chart="0" format="9" series="1">
      <pivotArea type="data" outline="0" fieldPosition="0">
        <references count="2">
          <reference field="4294967294" count="1" selected="0">
            <x v="0"/>
          </reference>
          <reference field="1" count="1" selected="0">
            <x v="1"/>
          </reference>
        </references>
      </pivotArea>
    </chartFormat>
    <chartFormat chart="1" format="10" series="1">
      <pivotArea type="data" outline="0" fieldPosition="0">
        <references count="2">
          <reference field="4294967294" count="1" selected="0">
            <x v="0"/>
          </reference>
          <reference field="1" count="1" selected="0">
            <x v="1"/>
          </reference>
        </references>
      </pivotArea>
    </chartFormat>
    <chartFormat chart="2" format="11" series="1">
      <pivotArea type="data" outline="0" fieldPosition="0">
        <references count="2">
          <reference field="4294967294" count="1" selected="0">
            <x v="0"/>
          </reference>
          <reference field="1" count="1" selected="0">
            <x v="1"/>
          </reference>
        </references>
      </pivotArea>
    </chartFormat>
    <chartFormat chart="2" format="12" series="1">
      <pivotArea type="data" outline="0" fieldPosition="0">
        <references count="2">
          <reference field="4294967294" count="1" selected="0">
            <x v="0"/>
          </reference>
          <reference field="1" count="1" selected="0">
            <x v="2"/>
          </reference>
        </references>
      </pivotArea>
    </chartFormat>
    <chartFormat chart="2" format="15" series="1">
      <pivotArea type="data" outline="0" fieldPosition="0">
        <references count="2">
          <reference field="4294967294" count="1" selected="0">
            <x v="0"/>
          </reference>
          <reference field="1" count="1" selected="0">
            <x v="4"/>
          </reference>
        </references>
      </pivotArea>
    </chartFormat>
    <chartFormat chart="2" format="23" series="1">
      <pivotArea type="data" outline="0" fieldPosition="0">
        <references count="2">
          <reference field="4294967294" count="1" selected="0">
            <x v="0"/>
          </reference>
          <reference field="1" count="1" selected="0">
            <x v="0"/>
          </reference>
        </references>
      </pivotArea>
    </chartFormat>
    <chartFormat chart="2" format="28" series="1">
      <pivotArea type="data" outline="0" fieldPosition="0">
        <references count="2">
          <reference field="4294967294" count="1" selected="0">
            <x v="0"/>
          </reference>
          <reference field="1" count="1" selected="0">
            <x v="3"/>
          </reference>
        </references>
      </pivotArea>
    </chartFormat>
  </chartFormats>
  <pivotHierarchies count="1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ies>
  <rowHierarchiesUsage count="1">
    <rowHierarchyUsage hierarchyUsage="6"/>
  </rowHierarchiesUsage>
  <colHierarchiesUsage count="1">
    <colHierarchyUsage hierarchyUsage="1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22" columnCount="2" cacheId="1398960626">
        <x15:pivotRow count="2">
          <x15:c>
            <x15:v>8</x15:v>
          </x15:c>
          <x15:c>
            <x15:v>8</x15:v>
          </x15:c>
        </x15:pivotRow>
        <x15:pivotRow count="2">
          <x15:c>
            <x15:v>3</x15:v>
          </x15:c>
          <x15:c>
            <x15:v>3</x15:v>
          </x15:c>
        </x15:pivotRow>
        <x15:pivotRow count="2">
          <x15:c>
            <x15:v>10</x15:v>
          </x15:c>
          <x15:c>
            <x15:v>10</x15:v>
          </x15:c>
        </x15:pivotRow>
        <x15:pivotRow count="2">
          <x15:c>
            <x15:v>10</x15:v>
          </x15:c>
          <x15:c>
            <x15:v>10</x15:v>
          </x15:c>
        </x15:pivotRow>
        <x15:pivotRow count="2">
          <x15:c>
            <x15:v>11</x15:v>
          </x15:c>
          <x15:c>
            <x15:v>11</x15:v>
          </x15:c>
        </x15:pivotRow>
        <x15:pivotRow count="2">
          <x15:c>
            <x15:v>9</x15:v>
          </x15:c>
          <x15:c>
            <x15:v>9</x15:v>
          </x15:c>
        </x15:pivotRow>
        <x15:pivotRow count="2">
          <x15:c>
            <x15:v>5</x15:v>
          </x15:c>
          <x15:c>
            <x15:v>5</x15:v>
          </x15:c>
        </x15:pivotRow>
        <x15:pivotRow count="2">
          <x15:c>
            <x15:v>4</x15:v>
          </x15:c>
          <x15:c>
            <x15:v>4</x15:v>
          </x15:c>
        </x15:pivotRow>
        <x15:pivotRow count="2">
          <x15:c>
            <x15:v>13</x15:v>
          </x15:c>
          <x15:c>
            <x15:v>13</x15:v>
          </x15:c>
        </x15:pivotRow>
        <x15:pivotRow count="2">
          <x15:c>
            <x15:v>8</x15:v>
          </x15:c>
          <x15:c>
            <x15:v>8</x15:v>
          </x15:c>
        </x15:pivotRow>
        <x15:pivotRow count="2">
          <x15:c>
            <x15:v>11</x15:v>
          </x15:c>
          <x15:c>
            <x15:v>11</x15:v>
          </x15:c>
        </x15:pivotRow>
        <x15:pivotRow count="2">
          <x15:c>
            <x15:v>4</x15:v>
          </x15:c>
          <x15:c>
            <x15:v>4</x15:v>
          </x15:c>
        </x15:pivotRow>
        <x15:pivotRow count="2">
          <x15:c>
            <x15:v>9</x15:v>
          </x15:c>
          <x15:c>
            <x15:v>9</x15:v>
          </x15:c>
        </x15:pivotRow>
        <x15:pivotRow count="2">
          <x15:c>
            <x15:v>6</x15:v>
          </x15:c>
          <x15:c>
            <x15:v>6</x15:v>
          </x15:c>
        </x15:pivotRow>
        <x15:pivotRow count="2">
          <x15:c>
            <x15:v>7</x15:v>
          </x15:c>
          <x15:c>
            <x15:v>7</x15:v>
          </x15:c>
        </x15:pivotRow>
        <x15:pivotRow count="2">
          <x15:c>
            <x15:v>9</x15:v>
          </x15:c>
          <x15:c>
            <x15:v>9</x15:v>
          </x15:c>
        </x15:pivotRow>
        <x15:pivotRow count="2">
          <x15:c>
            <x15:v>6</x15:v>
          </x15:c>
          <x15:c>
            <x15:v>6</x15:v>
          </x15:c>
        </x15:pivotRow>
        <x15:pivotRow count="2">
          <x15:c>
            <x15:v>8</x15:v>
          </x15:c>
          <x15:c>
            <x15:v>8</x15:v>
          </x15:c>
        </x15:pivotRow>
        <x15:pivotRow count="2">
          <x15:c>
            <x15:v>10</x15:v>
          </x15:c>
          <x15:c>
            <x15:v>10</x15:v>
          </x15:c>
        </x15:pivotRow>
        <x15:pivotRow count="2">
          <x15:c>
            <x15:v>9</x15:v>
          </x15:c>
          <x15:c>
            <x15:v>9</x15:v>
          </x15:c>
        </x15:pivotRow>
        <x15:pivotRow count="2">
          <x15:c>
            <x15:v>12</x15:v>
          </x15:c>
          <x15:c>
            <x15:v>12</x15:v>
          </x15:c>
        </x15:pivotRow>
        <x15:pivotRow count="2">
          <x15:c>
            <x15:v>172</x15:v>
          </x15:c>
          <x15:c>
            <x15:v>172</x15:v>
          </x15:c>
        </x15:pivotRow>
      </x15:pivotTableData>
    </ext>
    <ext xmlns:x15="http://schemas.microsoft.com/office/spreadsheetml/2010/11/main" uri="{E67621CE-5B39-4880-91FE-76760E9C1902}">
      <x15:pivotTableUISettings>
        <x15:activeTabTopLevelEntity name="[TimeShee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7358BC5-2688-407B-8955-D928BA37E0AF}" name="PivotTable1" cacheId="70" applyNumberFormats="0" applyBorderFormats="0" applyFontFormats="0" applyPatternFormats="0" applyAlignmentFormats="0" applyWidthHeightFormats="1" dataCaption="Values" updatedVersion="8" minRefreshableVersion="3" showDrill="0" useAutoFormatting="1" rowGrandTotals="0" colGrandTotals="0" itemPrintTitles="1" mergeItem="1" createdVersion="8" indent="0" compact="0" compactData="0" gridDropZones="1" multipleFieldFilters="0" fieldListSortAscending="1">
  <location ref="D7:H12" firstHeaderRow="2" firstDataRow="2" firstDataCol="4"/>
  <pivotFields count="13">
    <pivotField compact="0" outline="0" showAll="0" defaultSubtotal="0"/>
    <pivotField axis="axisRow" compact="0" outline="0" showAll="0" defaultSubtotal="0">
      <items count="22">
        <item x="0"/>
        <item m="1" x="17"/>
        <item m="1" x="7"/>
        <item m="1" x="12"/>
        <item x="2"/>
        <item m="1" x="18"/>
        <item m="1" x="13"/>
        <item m="1" x="9"/>
        <item m="1" x="19"/>
        <item m="1" x="8"/>
        <item m="1" x="21"/>
        <item m="1" x="14"/>
        <item m="1" x="20"/>
        <item m="1" x="5"/>
        <item x="1"/>
        <item m="1" x="15"/>
        <item m="1" x="3"/>
        <item m="1" x="16"/>
        <item m="1" x="4"/>
        <item m="1" x="10"/>
        <item m="1" x="11"/>
        <item m="1" x="6"/>
      </items>
    </pivotField>
    <pivotField compact="0" outline="0" showAll="0" defaultSubtotal="0"/>
    <pivotField axis="axisRow" compact="0" outline="0" showAll="0" defaultSubtotal="0">
      <items count="3">
        <item x="0"/>
        <item x="1"/>
        <item m="1" x="2"/>
      </items>
      <extLst>
        <ext xmlns:x14="http://schemas.microsoft.com/office/spreadsheetml/2009/9/main" uri="{2946ED86-A175-432a-8AC1-64E0C546D7DE}">
          <x14:pivotField fillDownLabels="1"/>
        </ext>
      </extLst>
    </pivotField>
    <pivotField compact="0" outline="0" showAll="0" defaultSubtotal="0"/>
    <pivotField axis="axisRow" compact="0" outline="0" showAll="0" defaultSubtotal="0">
      <items count="3">
        <item m="1" x="2"/>
        <item x="0"/>
        <item x="1"/>
      </items>
    </pivotField>
    <pivotField axis="axisRow" compact="0" outline="0" showAll="0" sortType="ascending" defaultSubtotal="0">
      <items count="10">
        <item x="0"/>
        <item m="1" x="4"/>
        <item x="1"/>
        <item m="1" x="5"/>
        <item x="2"/>
        <item m="1" x="6"/>
        <item x="3"/>
        <item m="1" x="9"/>
        <item m="1" x="7"/>
        <item m="1" x="8"/>
      </items>
    </pivotField>
    <pivotField compact="0" outline="0" showAll="0" defaultSubtotal="0"/>
    <pivotField compact="0" outline="0" showAll="0" defaultSubtotal="0"/>
    <pivotField compact="0" outline="0" subtotalTop="0" showAll="0" defaultSubtotal="0"/>
    <pivotField compact="0" outline="0" subtotalTop="0" showAll="0" defaultSubtotal="0"/>
    <pivotField compact="0" outline="0" showAll="0" defaultSubtotal="0"/>
    <pivotField dataField="1" compact="0" outline="0" showAll="0" defaultSubtotal="0"/>
  </pivotFields>
  <rowFields count="4">
    <field x="6"/>
    <field x="3"/>
    <field x="5"/>
    <field x="1"/>
  </rowFields>
  <rowItems count="4">
    <i>
      <x/>
      <x/>
      <x v="1"/>
      <x/>
    </i>
    <i>
      <x v="2"/>
      <x v="1"/>
      <x v="2"/>
      <x v="14"/>
    </i>
    <i>
      <x v="4"/>
      <x v="1"/>
      <x v="2"/>
      <x v="14"/>
    </i>
    <i>
      <x v="6"/>
      <x v="1"/>
      <x v="2"/>
      <x v="4"/>
    </i>
  </rowItems>
  <colItems count="1">
    <i/>
  </colItems>
  <dataFields count="1">
    <dataField name="Sum of TimeSheetDay" fld="12" baseField="0" baseItem="0"/>
  </dataFields>
  <formats count="1">
    <format dxfId="4">
      <pivotArea outline="0" collapsedLevelsAreSubtotals="1" fieldPosition="0"/>
    </format>
  </formats>
  <pivotTableStyleInfo name="PivotStyleMedium9"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67CDD5F-1532-40F8-A602-D03D1057A519}" name="PivotTable3" cacheId="68" applyNumberFormats="0" applyBorderFormats="0" applyFontFormats="0" applyPatternFormats="0" applyAlignmentFormats="0" applyWidthHeightFormats="1" dataCaption="Values" tag="580b702f-73df-42b1-b97d-bce67d5f5692" updatedVersion="8" minRefreshableVersion="3" useAutoFormatting="1" rowGrandTotals="0" itemPrintTitles="1" createdVersion="5" indent="0" outline="1" outlineData="1" multipleFieldFilters="0" rowHeaderCaption="Day" colHeaderCaption="Presence Status">
  <location ref="M7:S29" firstHeaderRow="1" firstDataRow="2" firstDataCol="1"/>
  <pivotFields count="3">
    <pivotField axis="axisRow" allDrilled="1" subtotalTop="0" showAll="0" sortType="ascending" defaultSubtotal="0" defaultAttributeDrillState="1">
      <items count="21">
        <item x="0"/>
        <item x="1"/>
        <item x="2"/>
        <item x="3"/>
        <item x="4"/>
        <item x="5"/>
        <item x="6"/>
        <item x="7"/>
        <item x="8"/>
        <item x="9"/>
        <item x="10"/>
        <item x="11"/>
        <item x="12"/>
        <item x="13"/>
        <item x="14"/>
        <item x="15"/>
        <item x="16"/>
        <item x="17"/>
        <item x="18"/>
        <item x="19"/>
        <item x="20"/>
      </items>
    </pivotField>
    <pivotField dataField="1" subtotalTop="0" showAll="0" defaultSubtotal="0"/>
    <pivotField axis="axisCol" allDrilled="1" subtotalTop="0" showAll="0" dataSourceSort="1" defaultSubtotal="0" defaultAttributeDrillState="1">
      <items count="5">
        <item x="0"/>
        <item x="1"/>
        <item x="2"/>
        <item x="3"/>
        <item x="4"/>
      </items>
    </pivotField>
  </pivotFields>
  <rowFields count="1">
    <field x="0"/>
  </rowFields>
  <rowItems count="21">
    <i>
      <x/>
    </i>
    <i>
      <x v="1"/>
    </i>
    <i>
      <x v="2"/>
    </i>
    <i>
      <x v="3"/>
    </i>
    <i>
      <x v="4"/>
    </i>
    <i>
      <x v="5"/>
    </i>
    <i>
      <x v="6"/>
    </i>
    <i>
      <x v="7"/>
    </i>
    <i>
      <x v="8"/>
    </i>
    <i>
      <x v="9"/>
    </i>
    <i>
      <x v="10"/>
    </i>
    <i>
      <x v="11"/>
    </i>
    <i>
      <x v="12"/>
    </i>
    <i>
      <x v="13"/>
    </i>
    <i>
      <x v="14"/>
    </i>
    <i>
      <x v="15"/>
    </i>
    <i>
      <x v="16"/>
    </i>
    <i>
      <x v="17"/>
    </i>
    <i>
      <x v="18"/>
    </i>
    <i>
      <x v="19"/>
    </i>
    <i>
      <x v="20"/>
    </i>
  </rowItems>
  <colFields count="1">
    <field x="2"/>
  </colFields>
  <colItems count="6">
    <i>
      <x/>
    </i>
    <i>
      <x v="1"/>
    </i>
    <i>
      <x v="2"/>
    </i>
    <i>
      <x v="3"/>
    </i>
    <i>
      <x v="4"/>
    </i>
    <i t="grand">
      <x/>
    </i>
  </colItems>
  <dataFields count="1">
    <dataField name="Count of employees" fld="1" subtotal="count" baseField="0" baseItem="0"/>
  </dataFields>
  <formats count="3">
    <format dxfId="2">
      <pivotArea collapsedLevelsAreSubtotals="1" fieldPosition="0">
        <references count="1">
          <reference field="0" count="0"/>
        </references>
      </pivotArea>
    </format>
    <format dxfId="1">
      <pivotArea dataOnly="0" labelOnly="1" fieldPosition="0">
        <references count="1">
          <reference field="2" count="0"/>
        </references>
      </pivotArea>
    </format>
    <format dxfId="0">
      <pivotArea dataOnly="0" labelOnly="1" grandCol="1" outline="0" fieldPosition="0"/>
    </format>
  </formats>
  <pivotHierarchies count="1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caption="Count of employees"/>
  </pivotHierarchies>
  <pivotTableStyleInfo name="PivotStyleMedium9" showRowHeaders="1" showColHeaders="1" showRowStripes="1" showColStripes="1" showLastColumn="1"/>
  <rowHierarchiesUsage count="1">
    <rowHierarchyUsage hierarchyUsage="6"/>
  </rowHierarchiesUsage>
  <colHierarchiesUsage count="1">
    <colHierarchyUsage hierarchyUsage="1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imeSheet]"/>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2" xr16:uid="{A25FD93B-0794-474D-AB2E-186E66083C13}" autoFormatId="16" applyNumberFormats="0" applyBorderFormats="0" applyFontFormats="0" applyPatternFormats="0" applyAlignmentFormats="0" applyWidthHeightFormats="0">
  <queryTableRefresh nextId="2">
    <queryTableFields count="1">
      <queryTableField id="1" name="Month" tableColumnId="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esenceStatus" xr10:uid="{FA4022F4-9F3B-4408-83E6-47622EE26BC8}" sourceName="[TimeSheet].[PresenceStatus]">
  <data>
    <olap pivotCacheId="2061291858">
      <levels count="2">
        <level uniqueName="[TimeSheet].[PresenceStatus].[(All)]" sourceCaption="(All)" count="0"/>
        <level uniqueName="[TimeSheet].[PresenceStatus].[PresenceStatus]" sourceCaption="PresenceStatus" count="5">
          <ranges>
            <range startItem="0">
              <i n="[TimeSheet].[PresenceStatus].&amp;[CM]" c="CM"/>
              <i n="[TimeSheet].[PresenceStatus].&amp;[Co]" c="Co"/>
              <i n="[TimeSheet].[PresenceStatus].&amp;[Office]" c="Office"/>
              <i n="[TimeSheet].[PresenceStatus].&amp;[RSL]" c="RSL"/>
              <i n="[TimeSheet].[PresenceStatus].&amp;[TW]" c="TW"/>
            </range>
          </ranges>
        </level>
      </levels>
      <selections count="1">
        <selection n="[TimeSheet].[PresenceStatus].&amp;[Office]"/>
      </selections>
    </olap>
  </data>
  <extLst>
    <x:ext xmlns:x15="http://schemas.microsoft.com/office/spreadsheetml/2010/11/main" uri="{03082B11-2C62-411c-B77F-237D8FCFBE4C}">
      <x15:slicerCachePivotTables>
        <pivotTable tabId="4294967295" name="PivotChartTable3"/>
        <pivotTable tabId="4294967295" name="PivotChartTable2"/>
      </x15:slicerCachePivotTables>
    </x:ext>
    <x:ext xmlns:x15="http://schemas.microsoft.com/office/spreadsheetml/2010/11/main" uri="{470722E0-AACD-4C17-9CDC-17EF765DBC7E}">
      <x15:slicerCacheHideItemsWithNoData count="1">
        <x15:slicerCacheOlapLevelName uniqueName="[TimeSheet].[PresenceStatus].[PresenceStatus]"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esenceStatus" xr10:uid="{AAEF0A63-C7C7-4B1B-A53F-A18BA0988204}" cache="Slicer_PresenceStatus" caption="PresenceStatus" columnCount="7" level="1" rowHeight="2349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A945F0C-1070-40B2-8DBE-EAD50044B323}" name="FolderPath" displayName="FolderPath" ref="B1:B2" totalsRowShown="0">
  <tableColumns count="1">
    <tableColumn id="1" xr3:uid="{D6FC18DD-F313-46E0-8B18-643F937F39D0}" name="Folder Path"/>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6B00E08-8C34-483F-B86F-A413A1F9F3D8}" name="FolderContent" displayName="FolderContent" ref="O1:O3" tableType="queryTable" totalsRowShown="0">
  <autoFilter ref="O1:O3" xr:uid="{06B00E08-8C34-483F-B86F-A413A1F9F3D8}"/>
  <tableColumns count="1">
    <tableColumn id="1" xr3:uid="{2A0D8078-6380-406B-B2E8-EF92730CD167}" uniqueName="1" name="Month" queryTableFieldId="1" dataDxfId="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73428F-2278-469C-B09E-13C450F8C19F}" name="Month" displayName="Month" ref="D1:D2" totalsRowShown="0">
  <tableColumns count="1">
    <tableColumn id="1" xr3:uid="{D9704492-19EC-4CD7-AAA1-3236EB671281}" name="Month"/>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3.xml"/><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EE461-E49D-4A4A-9906-0D590E811754}">
  <sheetPr codeName="Sheet6"/>
  <dimension ref="B1:O12"/>
  <sheetViews>
    <sheetView showGridLines="0" tabSelected="1" workbookViewId="0">
      <selection activeCell="F15" sqref="F15"/>
    </sheetView>
  </sheetViews>
  <sheetFormatPr defaultRowHeight="15" x14ac:dyDescent="0.25"/>
  <cols>
    <col min="2" max="2" width="56.140625" bestFit="1" customWidth="1"/>
    <col min="3" max="3" width="8.28515625" bestFit="1" customWidth="1"/>
    <col min="4" max="4" width="15.140625" bestFit="1" customWidth="1"/>
    <col min="5" max="6" width="13.42578125" bestFit="1" customWidth="1"/>
    <col min="7" max="7" width="14.28515625" bestFit="1" customWidth="1"/>
    <col min="8" max="8" width="5.42578125" bestFit="1" customWidth="1"/>
    <col min="9" max="9" width="20.7109375" bestFit="1" customWidth="1"/>
    <col min="10" max="10" width="8.28515625" bestFit="1" customWidth="1"/>
    <col min="15" max="15" width="9" hidden="1" customWidth="1"/>
  </cols>
  <sheetData>
    <row r="1" spans="2:15" x14ac:dyDescent="0.25">
      <c r="B1" t="s">
        <v>0</v>
      </c>
      <c r="D1" t="s">
        <v>14</v>
      </c>
      <c r="O1" t="s">
        <v>14</v>
      </c>
    </row>
    <row r="2" spans="2:15" x14ac:dyDescent="0.25">
      <c r="B2" t="s">
        <v>23</v>
      </c>
      <c r="D2" t="s">
        <v>16</v>
      </c>
      <c r="O2" t="s">
        <v>15</v>
      </c>
    </row>
    <row r="3" spans="2:15" x14ac:dyDescent="0.25">
      <c r="O3" t="s">
        <v>16</v>
      </c>
    </row>
    <row r="6" spans="2:15" ht="18.75" x14ac:dyDescent="0.3">
      <c r="D6" s="8" t="str" cm="1">
        <f t="array" ref="D6" xml:space="preserve"> "Presence without entry for month: " &amp; Month[Month]</f>
        <v>Presence without entry for month: 02_2024</v>
      </c>
      <c r="E6" s="8"/>
      <c r="F6" s="8"/>
      <c r="G6" s="8"/>
      <c r="H6" s="8"/>
    </row>
    <row r="7" spans="2:15" x14ac:dyDescent="0.25">
      <c r="D7" s="3" t="s">
        <v>20</v>
      </c>
      <c r="E7" s="1"/>
      <c r="F7" s="1"/>
      <c r="G7" s="1"/>
      <c r="H7" s="1"/>
    </row>
    <row r="8" spans="2:15" x14ac:dyDescent="0.25">
      <c r="D8" s="3" t="s">
        <v>13</v>
      </c>
      <c r="E8" s="3" t="s">
        <v>4</v>
      </c>
      <c r="F8" s="3" t="s">
        <v>5</v>
      </c>
      <c r="G8" s="3" t="s">
        <v>3</v>
      </c>
      <c r="H8" s="1" t="s">
        <v>17</v>
      </c>
    </row>
    <row r="9" spans="2:15" x14ac:dyDescent="0.25">
      <c r="D9" s="2">
        <v>2</v>
      </c>
      <c r="E9" s="2" t="s">
        <v>6</v>
      </c>
      <c r="F9" s="2" t="s">
        <v>7</v>
      </c>
      <c r="G9" s="2" t="s">
        <v>1</v>
      </c>
      <c r="H9" s="10">
        <v>8</v>
      </c>
    </row>
    <row r="10" spans="2:15" x14ac:dyDescent="0.25">
      <c r="D10" s="2">
        <v>7</v>
      </c>
      <c r="E10" s="6" t="s">
        <v>8</v>
      </c>
      <c r="F10" s="6" t="s">
        <v>9</v>
      </c>
      <c r="G10" s="2" t="s">
        <v>25</v>
      </c>
      <c r="H10" s="10">
        <v>8</v>
      </c>
    </row>
    <row r="11" spans="2:15" x14ac:dyDescent="0.25">
      <c r="D11" s="2">
        <v>9</v>
      </c>
      <c r="E11" s="7" t="s">
        <v>8</v>
      </c>
      <c r="F11" s="7" t="s">
        <v>9</v>
      </c>
      <c r="G11" s="2" t="s">
        <v>25</v>
      </c>
      <c r="H11" s="10">
        <v>8</v>
      </c>
    </row>
    <row r="12" spans="2:15" x14ac:dyDescent="0.25">
      <c r="D12" s="2">
        <v>15</v>
      </c>
      <c r="E12" s="7" t="s">
        <v>8</v>
      </c>
      <c r="F12" s="7" t="s">
        <v>9</v>
      </c>
      <c r="G12" s="2" t="s">
        <v>2</v>
      </c>
      <c r="H12" s="10">
        <v>8</v>
      </c>
    </row>
  </sheetData>
  <mergeCells count="3">
    <mergeCell ref="D6:H6"/>
    <mergeCell ref="E10:E12"/>
    <mergeCell ref="F10:F12"/>
  </mergeCells>
  <dataValidations count="1">
    <dataValidation type="list" allowBlank="1" showInputMessage="1" showErrorMessage="1" sqref="D2" xr:uid="{2353CD09-3860-43D5-B525-B93D3795F889}">
      <formula1>INDIRECT("FolderContent[Month]")</formula1>
    </dataValidation>
  </dataValidations>
  <pageMargins left="0.7" right="0.7" top="0.75" bottom="0.75" header="0.3" footer="0.3"/>
  <pageSetup orientation="portrait" r:id="rId2"/>
  <drawing r:id="rId3"/>
  <tableParts count="3">
    <tablePart r:id="rId4"/>
    <tablePart r:id="rId5"/>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BA84B-8FFF-4D70-991B-BBCA834452AB}">
  <sheetPr codeName="Sheet1"/>
  <dimension ref="B2:S29"/>
  <sheetViews>
    <sheetView showGridLines="0" showRowColHeaders="0" zoomScale="90" zoomScaleNormal="90" workbookViewId="0">
      <selection activeCell="W17" sqref="W17"/>
    </sheetView>
  </sheetViews>
  <sheetFormatPr defaultRowHeight="15" x14ac:dyDescent="0.25"/>
  <cols>
    <col min="2" max="2" width="23" bestFit="1" customWidth="1"/>
    <col min="3" max="3" width="16.140625" bestFit="1" customWidth="1"/>
    <col min="4" max="4" width="11" bestFit="1" customWidth="1"/>
    <col min="5" max="5" width="3.42578125" bestFit="1" customWidth="1"/>
    <col min="6" max="6" width="6.140625" bestFit="1" customWidth="1"/>
    <col min="7" max="7" width="3.85546875" bestFit="1" customWidth="1"/>
    <col min="8" max="8" width="11" bestFit="1" customWidth="1"/>
    <col min="12" max="12" width="5.7109375" customWidth="1"/>
    <col min="13" max="13" width="19.5703125" bestFit="1" customWidth="1"/>
    <col min="14" max="14" width="18" bestFit="1" customWidth="1"/>
    <col min="15" max="15" width="3.5703125" bestFit="1" customWidth="1"/>
    <col min="16" max="16" width="6.5703125" bestFit="1" customWidth="1"/>
    <col min="17" max="17" width="4.42578125" bestFit="1" customWidth="1"/>
    <col min="18" max="18" width="3.85546875" bestFit="1" customWidth="1"/>
    <col min="19" max="19" width="11.28515625" bestFit="1" customWidth="1"/>
    <col min="20" max="20" width="3.7109375" bestFit="1" customWidth="1"/>
    <col min="21" max="21" width="3.28515625" bestFit="1" customWidth="1"/>
    <col min="22" max="22" width="3.42578125" bestFit="1" customWidth="1"/>
    <col min="23" max="23" width="3.85546875" bestFit="1" customWidth="1"/>
    <col min="24" max="24" width="11" bestFit="1" customWidth="1"/>
  </cols>
  <sheetData>
    <row r="2" spans="2:19" ht="18.75" x14ac:dyDescent="0.3">
      <c r="B2" s="9" t="str">
        <f>"Graphical representation for month: " &amp; PivotTable!D2</f>
        <v>Graphical representation for month: 02_2024</v>
      </c>
      <c r="C2" s="9"/>
      <c r="D2" s="9"/>
      <c r="E2" s="9"/>
      <c r="F2" s="9"/>
      <c r="G2" s="9"/>
      <c r="H2" s="9"/>
      <c r="I2" s="9"/>
    </row>
    <row r="7" spans="2:19" x14ac:dyDescent="0.25">
      <c r="M7" s="4" t="s">
        <v>22</v>
      </c>
      <c r="N7" s="4" t="s">
        <v>21</v>
      </c>
    </row>
    <row r="8" spans="2:19" x14ac:dyDescent="0.25">
      <c r="M8" s="4" t="s">
        <v>13</v>
      </c>
      <c r="N8" s="1" t="s">
        <v>12</v>
      </c>
      <c r="O8" s="1" t="s">
        <v>11</v>
      </c>
      <c r="P8" s="1" t="s">
        <v>18</v>
      </c>
      <c r="Q8" s="1" t="s">
        <v>24</v>
      </c>
      <c r="R8" s="1" t="s">
        <v>10</v>
      </c>
      <c r="S8" s="1" t="s">
        <v>19</v>
      </c>
    </row>
    <row r="9" spans="2:19" x14ac:dyDescent="0.25">
      <c r="M9" s="5">
        <v>1</v>
      </c>
      <c r="N9" s="10">
        <v>1</v>
      </c>
      <c r="O9" s="10"/>
      <c r="P9" s="10">
        <v>8</v>
      </c>
      <c r="Q9" s="10"/>
      <c r="R9" s="10">
        <v>13</v>
      </c>
      <c r="S9" s="10">
        <v>22</v>
      </c>
    </row>
    <row r="10" spans="2:19" x14ac:dyDescent="0.25">
      <c r="M10" s="5">
        <v>2</v>
      </c>
      <c r="N10" s="10">
        <v>1</v>
      </c>
      <c r="O10" s="10">
        <v>5</v>
      </c>
      <c r="P10" s="10">
        <v>3</v>
      </c>
      <c r="Q10" s="10"/>
      <c r="R10" s="10">
        <v>13</v>
      </c>
      <c r="S10" s="10">
        <v>22</v>
      </c>
    </row>
    <row r="11" spans="2:19" x14ac:dyDescent="0.25">
      <c r="M11" s="5">
        <v>5</v>
      </c>
      <c r="N11" s="10">
        <v>1</v>
      </c>
      <c r="O11" s="10">
        <v>1</v>
      </c>
      <c r="P11" s="10">
        <v>10</v>
      </c>
      <c r="Q11" s="10"/>
      <c r="R11" s="10">
        <v>10</v>
      </c>
      <c r="S11" s="10">
        <v>22</v>
      </c>
    </row>
    <row r="12" spans="2:19" x14ac:dyDescent="0.25">
      <c r="M12" s="5">
        <v>6</v>
      </c>
      <c r="N12" s="10">
        <v>1</v>
      </c>
      <c r="O12" s="10">
        <v>1</v>
      </c>
      <c r="P12" s="10">
        <v>10</v>
      </c>
      <c r="Q12" s="10"/>
      <c r="R12" s="10">
        <v>10</v>
      </c>
      <c r="S12" s="10">
        <v>22</v>
      </c>
    </row>
    <row r="13" spans="2:19" x14ac:dyDescent="0.25">
      <c r="M13" s="5">
        <v>7</v>
      </c>
      <c r="N13" s="10">
        <v>1</v>
      </c>
      <c r="O13" s="10">
        <v>3</v>
      </c>
      <c r="P13" s="10">
        <v>11</v>
      </c>
      <c r="Q13" s="10"/>
      <c r="R13" s="10">
        <v>7</v>
      </c>
      <c r="S13" s="10">
        <v>22</v>
      </c>
    </row>
    <row r="14" spans="2:19" x14ac:dyDescent="0.25">
      <c r="M14" s="5">
        <v>8</v>
      </c>
      <c r="N14" s="10">
        <v>1</v>
      </c>
      <c r="O14" s="10">
        <v>2</v>
      </c>
      <c r="P14" s="10">
        <v>9</v>
      </c>
      <c r="Q14" s="10"/>
      <c r="R14" s="10">
        <v>10</v>
      </c>
      <c r="S14" s="10">
        <v>22</v>
      </c>
    </row>
    <row r="15" spans="2:19" x14ac:dyDescent="0.25">
      <c r="M15" s="5">
        <v>9</v>
      </c>
      <c r="N15" s="10">
        <v>1</v>
      </c>
      <c r="O15" s="10">
        <v>2</v>
      </c>
      <c r="P15" s="10">
        <v>5</v>
      </c>
      <c r="Q15" s="10"/>
      <c r="R15" s="10">
        <v>14</v>
      </c>
      <c r="S15" s="10">
        <v>22</v>
      </c>
    </row>
    <row r="16" spans="2:19" x14ac:dyDescent="0.25">
      <c r="M16" s="5">
        <v>12</v>
      </c>
      <c r="N16" s="10">
        <v>1</v>
      </c>
      <c r="O16" s="10">
        <v>4</v>
      </c>
      <c r="P16" s="10">
        <v>4</v>
      </c>
      <c r="Q16" s="10"/>
      <c r="R16" s="10">
        <v>13</v>
      </c>
      <c r="S16" s="10">
        <v>22</v>
      </c>
    </row>
    <row r="17" spans="13:19" x14ac:dyDescent="0.25">
      <c r="M17" s="5">
        <v>13</v>
      </c>
      <c r="N17" s="10">
        <v>1</v>
      </c>
      <c r="O17" s="10">
        <v>2</v>
      </c>
      <c r="P17" s="10">
        <v>13</v>
      </c>
      <c r="Q17" s="10"/>
      <c r="R17" s="10">
        <v>6</v>
      </c>
      <c r="S17" s="10">
        <v>22</v>
      </c>
    </row>
    <row r="18" spans="13:19" x14ac:dyDescent="0.25">
      <c r="M18" s="5">
        <v>14</v>
      </c>
      <c r="N18" s="10">
        <v>1</v>
      </c>
      <c r="O18" s="10">
        <v>2</v>
      </c>
      <c r="P18" s="10">
        <v>8</v>
      </c>
      <c r="Q18" s="10"/>
      <c r="R18" s="10">
        <v>11</v>
      </c>
      <c r="S18" s="10">
        <v>22</v>
      </c>
    </row>
    <row r="19" spans="13:19" x14ac:dyDescent="0.25">
      <c r="M19" s="5">
        <v>15</v>
      </c>
      <c r="N19" s="10">
        <v>1</v>
      </c>
      <c r="O19" s="10">
        <v>2</v>
      </c>
      <c r="P19" s="10">
        <v>11</v>
      </c>
      <c r="Q19" s="10"/>
      <c r="R19" s="10">
        <v>8</v>
      </c>
      <c r="S19" s="10">
        <v>22</v>
      </c>
    </row>
    <row r="20" spans="13:19" x14ac:dyDescent="0.25">
      <c r="M20" s="5">
        <v>16</v>
      </c>
      <c r="N20" s="10">
        <v>1</v>
      </c>
      <c r="O20" s="10">
        <v>2</v>
      </c>
      <c r="P20" s="10">
        <v>4</v>
      </c>
      <c r="Q20" s="10">
        <v>1</v>
      </c>
      <c r="R20" s="10">
        <v>14</v>
      </c>
      <c r="S20" s="10">
        <v>22</v>
      </c>
    </row>
    <row r="21" spans="13:19" x14ac:dyDescent="0.25">
      <c r="M21" s="5">
        <v>19</v>
      </c>
      <c r="N21" s="10">
        <v>1</v>
      </c>
      <c r="O21" s="10">
        <v>1</v>
      </c>
      <c r="P21" s="10">
        <v>9</v>
      </c>
      <c r="Q21" s="10"/>
      <c r="R21" s="10">
        <v>11</v>
      </c>
      <c r="S21" s="10">
        <v>22</v>
      </c>
    </row>
    <row r="22" spans="13:19" x14ac:dyDescent="0.25">
      <c r="M22" s="5">
        <v>20</v>
      </c>
      <c r="N22" s="10">
        <v>1</v>
      </c>
      <c r="O22" s="10">
        <v>1</v>
      </c>
      <c r="P22" s="10">
        <v>6</v>
      </c>
      <c r="Q22" s="10"/>
      <c r="R22" s="10">
        <v>14</v>
      </c>
      <c r="S22" s="10">
        <v>22</v>
      </c>
    </row>
    <row r="23" spans="13:19" x14ac:dyDescent="0.25">
      <c r="M23" s="5">
        <v>21</v>
      </c>
      <c r="N23" s="10">
        <v>1</v>
      </c>
      <c r="O23" s="10">
        <v>1</v>
      </c>
      <c r="P23" s="10">
        <v>7</v>
      </c>
      <c r="Q23" s="10"/>
      <c r="R23" s="10">
        <v>13</v>
      </c>
      <c r="S23" s="10">
        <v>22</v>
      </c>
    </row>
    <row r="24" spans="13:19" x14ac:dyDescent="0.25">
      <c r="M24" s="5">
        <v>22</v>
      </c>
      <c r="N24" s="10">
        <v>1</v>
      </c>
      <c r="O24" s="10">
        <v>1</v>
      </c>
      <c r="P24" s="10">
        <v>9</v>
      </c>
      <c r="Q24" s="10"/>
      <c r="R24" s="10">
        <v>11</v>
      </c>
      <c r="S24" s="10">
        <v>22</v>
      </c>
    </row>
    <row r="25" spans="13:19" x14ac:dyDescent="0.25">
      <c r="M25" s="5">
        <v>23</v>
      </c>
      <c r="N25" s="10">
        <v>1</v>
      </c>
      <c r="O25" s="10">
        <v>3</v>
      </c>
      <c r="P25" s="10">
        <v>6</v>
      </c>
      <c r="Q25" s="10"/>
      <c r="R25" s="10">
        <v>12</v>
      </c>
      <c r="S25" s="10">
        <v>22</v>
      </c>
    </row>
    <row r="26" spans="13:19" x14ac:dyDescent="0.25">
      <c r="M26" s="5">
        <v>26</v>
      </c>
      <c r="N26" s="10">
        <v>2</v>
      </c>
      <c r="O26" s="10">
        <v>2</v>
      </c>
      <c r="P26" s="10">
        <v>8</v>
      </c>
      <c r="Q26" s="10"/>
      <c r="R26" s="10">
        <v>10</v>
      </c>
      <c r="S26" s="10">
        <v>22</v>
      </c>
    </row>
    <row r="27" spans="13:19" x14ac:dyDescent="0.25">
      <c r="M27" s="5">
        <v>27</v>
      </c>
      <c r="N27" s="10">
        <v>2</v>
      </c>
      <c r="O27" s="10">
        <v>1</v>
      </c>
      <c r="P27" s="10">
        <v>10</v>
      </c>
      <c r="Q27" s="10"/>
      <c r="R27" s="10">
        <v>9</v>
      </c>
      <c r="S27" s="10">
        <v>22</v>
      </c>
    </row>
    <row r="28" spans="13:19" x14ac:dyDescent="0.25">
      <c r="M28" s="5">
        <v>28</v>
      </c>
      <c r="N28" s="10">
        <v>2</v>
      </c>
      <c r="O28" s="10">
        <v>1</v>
      </c>
      <c r="P28" s="10">
        <v>9</v>
      </c>
      <c r="Q28" s="10"/>
      <c r="R28" s="10">
        <v>10</v>
      </c>
      <c r="S28" s="10">
        <v>22</v>
      </c>
    </row>
    <row r="29" spans="13:19" x14ac:dyDescent="0.25">
      <c r="M29" s="5">
        <v>29</v>
      </c>
      <c r="N29" s="10">
        <v>2</v>
      </c>
      <c r="O29" s="10">
        <v>1</v>
      </c>
      <c r="P29" s="10">
        <v>12</v>
      </c>
      <c r="Q29" s="10"/>
      <c r="R29" s="10">
        <v>7</v>
      </c>
      <c r="S29" s="10">
        <v>22</v>
      </c>
    </row>
  </sheetData>
  <mergeCells count="1">
    <mergeCell ref="B2:I2"/>
  </mergeCells>
  <pageMargins left="0.7" right="0.7" top="0.75" bottom="0.75" header="0.3" footer="0.3"/>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0D174672-7215-4718-B77E-33D0DE981377}">
  <ds:schemaRefs/>
</ds:datastoreItem>
</file>

<file path=customXml/itemProps2.xml><?xml version="1.0" encoding="utf-8"?>
<ds:datastoreItem xmlns:ds="http://schemas.openxmlformats.org/officeDocument/2006/customXml" ds:itemID="{C3515196-BE4B-49D0-8EF7-8BCFD7707B3C}">
  <ds:schemaRefs/>
</ds:datastoreItem>
</file>

<file path=customXml/itemProps3.xml><?xml version="1.0" encoding="utf-8"?>
<ds:datastoreItem xmlns:ds="http://schemas.openxmlformats.org/officeDocument/2006/customXml" ds:itemID="{410EAF2F-9CCD-46BA-B404-FEF92B2612C4}">
  <ds:schemaRefs/>
</ds:datastoreItem>
</file>

<file path=customXml/itemProps4.xml><?xml version="1.0" encoding="utf-8"?>
<ds:datastoreItem xmlns:ds="http://schemas.openxmlformats.org/officeDocument/2006/customXml" ds:itemID="{7BEC34FE-72CA-46F5-A04A-A4BFA2A58846}">
  <ds:schemaRefs/>
</ds:datastoreItem>
</file>

<file path=customXml/itemProps5.xml><?xml version="1.0" encoding="utf-8"?>
<ds:datastoreItem xmlns:ds="http://schemas.openxmlformats.org/officeDocument/2006/customXml" ds:itemID="{60883150-D4A4-41EF-91A8-AB41D8EB5CE0}">
  <ds:schemaRefs/>
</ds:datastoreItem>
</file>

<file path=customXml/itemProps6.xml><?xml version="1.0" encoding="utf-8"?>
<ds:datastoreItem xmlns:ds="http://schemas.openxmlformats.org/officeDocument/2006/customXml" ds:itemID="{00556892-A66A-4F38-A557-21C9BAE90F7C}">
  <ds:schemaRefs/>
</ds:datastoreItem>
</file>

<file path=customXml/itemProps7.xml><?xml version="1.0" encoding="utf-8"?>
<ds:datastoreItem xmlns:ds="http://schemas.openxmlformats.org/officeDocument/2006/customXml" ds:itemID="{BA6557DE-151A-4D38-90D9-DECF72F9F745}">
  <ds:schemaRefs/>
</ds:datastoreItem>
</file>

<file path=customXml/itemProps8.xml><?xml version="1.0" encoding="utf-8"?>
<ds:datastoreItem xmlns:ds="http://schemas.openxmlformats.org/officeDocument/2006/customXml" ds:itemID="{FA884EFF-2341-4E8A-9825-3464B8336BB1}">
  <ds:schemaRefs/>
</ds:datastoreItem>
</file>

<file path=customXml/itemProps9.xml><?xml version="1.0" encoding="utf-8"?>
<ds:datastoreItem xmlns:ds="http://schemas.openxmlformats.org/officeDocument/2006/customXml" ds:itemID="{77316C3C-0166-4496-A2E7-F8D072C75F17}">
  <ds:schemaRefs/>
</ds:datastoreItem>
</file>

<file path=customXml/itemProps10.xml><?xml version="1.0" encoding="utf-8"?>
<ds:datastoreItem xmlns:ds="http://schemas.openxmlformats.org/officeDocument/2006/customXml" ds:itemID="{C1448E3E-45CD-4461-8077-A75DF9FE8FA1}">
  <ds:schemaRefs/>
</ds:datastoreItem>
</file>

<file path=customXml/itemProps11.xml><?xml version="1.0" encoding="utf-8"?>
<ds:datastoreItem xmlns:ds="http://schemas.openxmlformats.org/officeDocument/2006/customXml" ds:itemID="{720EEE42-5F1E-4CA5-90FA-3E75C666BEE3}">
  <ds:schemaRefs/>
</ds:datastoreItem>
</file>

<file path=customXml/itemProps12.xml><?xml version="1.0" encoding="utf-8"?>
<ds:datastoreItem xmlns:ds="http://schemas.openxmlformats.org/officeDocument/2006/customXml" ds:itemID="{AE114974-3924-4BBA-8AAB-37B33A654F93}">
  <ds:schemaRefs/>
</ds:datastoreItem>
</file>

<file path=customXml/itemProps13.xml><?xml version="1.0" encoding="utf-8"?>
<ds:datastoreItem xmlns:ds="http://schemas.openxmlformats.org/officeDocument/2006/customXml" ds:itemID="{E963B67F-FA88-43EE-A58A-3FD09A1D15F2}">
  <ds:schemaRefs/>
</ds:datastoreItem>
</file>

<file path=customXml/itemProps14.xml><?xml version="1.0" encoding="utf-8"?>
<ds:datastoreItem xmlns:ds="http://schemas.openxmlformats.org/officeDocument/2006/customXml" ds:itemID="{19A0581E-434B-450C-AC23-DDF205EB9148}">
  <ds:schemaRefs/>
</ds:datastoreItem>
</file>

<file path=customXml/itemProps15.xml><?xml version="1.0" encoding="utf-8"?>
<ds:datastoreItem xmlns:ds="http://schemas.openxmlformats.org/officeDocument/2006/customXml" ds:itemID="{DBBF1F5B-F430-4A41-A404-26D9EB11486E}">
  <ds:schemaRefs/>
</ds:datastoreItem>
</file>

<file path=customXml/itemProps16.xml><?xml version="1.0" encoding="utf-8"?>
<ds:datastoreItem xmlns:ds="http://schemas.openxmlformats.org/officeDocument/2006/customXml" ds:itemID="{FC9AA9E6-90A0-4206-9E10-C9266215E8EF}">
  <ds:schemaRefs/>
</ds:datastoreItem>
</file>

<file path=customXml/itemProps17.xml><?xml version="1.0" encoding="utf-8"?>
<ds:datastoreItem xmlns:ds="http://schemas.openxmlformats.org/officeDocument/2006/customXml" ds:itemID="{0046250F-8BFC-4A9D-9989-5D07D31077DF}">
  <ds:schemaRefs/>
</ds:datastoreItem>
</file>

<file path=customXml/itemProps18.xml><?xml version="1.0" encoding="utf-8"?>
<ds:datastoreItem xmlns:ds="http://schemas.openxmlformats.org/officeDocument/2006/customXml" ds:itemID="{880C47CE-F238-4B40-A883-B2BDA28C3932}">
  <ds:schemaRefs/>
</ds:datastoreItem>
</file>

<file path=customXml/itemProps19.xml><?xml version="1.0" encoding="utf-8"?>
<ds:datastoreItem xmlns:ds="http://schemas.openxmlformats.org/officeDocument/2006/customXml" ds:itemID="{E44A6CAA-6338-496C-BBC6-CD720342B98A}">
  <ds:schemaRefs>
    <ds:schemaRef ds:uri="http://schemas.microsoft.com/DataMashup"/>
  </ds:schemaRefs>
</ds:datastoreItem>
</file>

<file path=docMetadata/LabelInfo.xml><?xml version="1.0" encoding="utf-8"?>
<clbl:labelList xmlns:clbl="http://schemas.microsoft.com/office/2020/mipLabelMetadata">
  <clbl:label id="{fd1c0902-ed92-4fed-896d-2e7725de02d4}" enabled="1" method="Standard" siteId="{d6b0bbee-7cd9-4d60-bce6-4a67b543e2ae}" contentBits="2"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PivotTable</vt:lpstr>
      <vt:lpstr>Graph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 Ro</dc:creator>
  <cp:lastModifiedBy>Ni Ro</cp:lastModifiedBy>
  <dcterms:created xsi:type="dcterms:W3CDTF">2024-12-20T13:11:12Z</dcterms:created>
  <dcterms:modified xsi:type="dcterms:W3CDTF">2024-12-24T06:40:54Z</dcterms:modified>
</cp:coreProperties>
</file>